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ichayac\Desktop\"/>
    </mc:Choice>
  </mc:AlternateContent>
  <xr:revisionPtr revIDLastSave="0" documentId="13_ncr:1_{72136BB3-584E-4B18-ADF7-386DF2451D76}" xr6:coauthVersionLast="47" xr6:coauthVersionMax="47" xr10:uidLastSave="{00000000-0000-0000-0000-000000000000}"/>
  <bookViews>
    <workbookView xWindow="-120" yWindow="-120" windowWidth="29040" windowHeight="15720" firstSheet="2" activeTab="2" xr2:uid="{1CBF83FD-8880-4ED5-8228-E245D088C4A9}"/>
  </bookViews>
  <sheets>
    <sheet name="งานงวดที่ 2 (3)" sheetId="7" state="hidden" r:id="rId1"/>
    <sheet name="Sheet1" sheetId="18" state="hidden" r:id="rId2"/>
    <sheet name="Minutes of Meeting" sheetId="21" r:id="rId3"/>
    <sheet name="Doc approval Checklist" sheetId="2" state="hidden" r:id="rId4"/>
    <sheet name="Doc. issue" sheetId="4" state="hidden" r:id="rId5"/>
    <sheet name="Check list DeMO" sheetId="14" state="hidden" r:id="rId6"/>
    <sheet name="CMP_Adoption" sheetId="12" state="hidden" r:id="rId7"/>
    <sheet name="CMP Adoption Plan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8" l="1"/>
  <c r="E8" i="18"/>
  <c r="E15" i="18"/>
  <c r="E14" i="18"/>
  <c r="D9" i="18"/>
  <c r="A76" i="7"/>
  <c r="A77" i="7"/>
  <c r="A78" i="7"/>
  <c r="A43" i="7"/>
  <c r="A44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41" i="7"/>
  <c r="A30" i="7"/>
  <c r="A31" i="7"/>
  <c r="A32" i="7"/>
  <c r="A33" i="7"/>
  <c r="A34" i="7"/>
  <c r="A35" i="7"/>
  <c r="A36" i="7"/>
  <c r="A15" i="7"/>
  <c r="A16" i="7"/>
  <c r="A17" i="7"/>
  <c r="A19" i="7"/>
  <c r="A20" i="7"/>
  <c r="A21" i="7"/>
  <c r="A22" i="7"/>
  <c r="A23" i="7"/>
  <c r="A24" i="7"/>
  <c r="A25" i="7"/>
  <c r="C5" i="2"/>
  <c r="C6" i="2"/>
  <c r="C7" i="2"/>
  <c r="C8" i="2"/>
  <c r="E9" i="18" l="1"/>
  <c r="D10" i="18"/>
  <c r="E10" i="18" l="1"/>
  <c r="F10" i="18" s="1"/>
  <c r="F9" i="18"/>
  <c r="C15" i="18" l="1"/>
  <c r="D15" i="18" s="1"/>
  <c r="F15" i="18" s="1"/>
  <c r="C14" i="18"/>
  <c r="D14" i="18" s="1"/>
  <c r="F14" i="1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<sst xmlns="http://schemas.openxmlformats.org/spreadsheetml/2006/main" count="1275" uniqueCount="439">
  <si>
    <t>CHECK LIST งานงวดที่ 2-4</t>
  </si>
  <si>
    <t>Requirement ของแผนก BIM</t>
  </si>
  <si>
    <t>No.</t>
  </si>
  <si>
    <t>Description</t>
  </si>
  <si>
    <t>Submit</t>
  </si>
  <si>
    <t>Approve</t>
  </si>
  <si>
    <t>สามารถเปิดไฟล์งาน 2D และ 3D ที่ Export มาจากหลากหลายโปรแกรม เช่น Revit, Navisworks, AutoCAD, SketchUp, Archicad, Microsoft Project, Adobe Acrobat (PDF), Word, Excel, .IFC</t>
  </si>
  <si>
    <t>ü</t>
  </si>
  <si>
    <t>Revit File</t>
  </si>
  <si>
    <t>û</t>
  </si>
  <si>
    <t>Navisworks File</t>
  </si>
  <si>
    <t>AutoCAD File</t>
  </si>
  <si>
    <t>Sketchup File</t>
  </si>
  <si>
    <t>Archicad File</t>
  </si>
  <si>
    <t>Microsoft Project File</t>
  </si>
  <si>
    <t>Adobe Acrobat File (PDF)</t>
  </si>
  <si>
    <t>Word File</t>
  </si>
  <si>
    <t>Excel File</t>
  </si>
  <si>
    <t>IFC File</t>
  </si>
  <si>
    <t>สามารถบอกคุณสมบัติของวัสดุ (Properties) ได้ครบถ้วน และสามารถถอดปริมาณวัสดุต่างๆ แยกตามหมวดงานได้ ส่งออก Excel ได้</t>
  </si>
  <si>
    <t>สามารถ Comment / Mark up ลงบนชั้นงานหรือบน Drawing และส่งต่อผู้เกี่ยวข้องได้ทั้งแบบรูปภาพและโมเดล 3D</t>
  </si>
  <si>
    <t>สามารถทำเอกสารสอบถามปัญหาอุปสรรคต่างๆ (RFI) ตามแบบฟอร์มที่กำหนดได้ โดยใช้รูปภาพและ Comment จากโมเดล 3D</t>
  </si>
  <si>
    <t>RFI Workflow, Document Approval</t>
  </si>
  <si>
    <t>สามารถ Combine Model และทำ Clash Detection &amp; Report ได้</t>
  </si>
  <si>
    <t>สามารถดูโมเดล 3D ย้อนหลังแต่ละ Version ได้ และเปรียบเทียบความแตกต่างของแต่ละ Version ได้</t>
  </si>
  <si>
    <t>สามารถสร้างหน้า Dashboard เพื่อดูโมเดล 3D รวมทุกโครงการได้ โดยไม่เห็นเอกสารในส่วนอื่นและแชร์ Link ให้เห็นเฉพาะโมเดลได้</t>
  </si>
  <si>
    <t>สามารถสร้าง Folder เพื่อเก็บเอกสารและแบบต่างๆ ได้ เพื่อดูสถานะของแบบแต่ละหมวด และความเร็วโหลดของการนำไปใช้</t>
  </si>
  <si>
    <t>สามารถเปิดไฟล์ Media ได้ เช่น VDO, .mpeg, .mp4, Animation ต่างๆ</t>
  </si>
  <si>
    <t>สามารถทำการบันทึกความก้าวหน้าของงานบนโมเดล 3D ได้ (Progress on Model)</t>
  </si>
  <si>
    <t>Mobile Application / สามารถเปิดดู Model, แบบ PDF, CAD รวมถึงวัดระยะได้</t>
  </si>
  <si>
    <t>Requirement ของแผนก Estimate</t>
  </si>
  <si>
    <t>ถอดปริมาณจาก BIM Model แยกตาม Building / Discipline / Category / Level</t>
  </si>
  <si>
    <t>3D Viewer ที่สามารถตรวจสอบปริมาณที่ถอดมาจาก BIM Model</t>
  </si>
  <si>
    <t>เห็นรายละเอียด By Element ได้</t>
  </si>
  <si>
    <t>Export ปริมาณจาก BIM Model ออกมาในรูปแบบ CSV หรือ Excel ตาม format BOQ
ตามมาตรฐานของ Syntec และ Backup File ที่แยกตาม Element และ Floor</t>
  </si>
  <si>
    <t>เปรียบเทียบความแตกต่างของไฟล์แบบ 2D (PDF / AutoCAD) กรณีมีการ Revised ข้อมูล</t>
  </si>
  <si>
    <t>สามารถ Download / Export / Save As / Print ข้อมูลที่เห็นบนหน้าจอออกมาได้</t>
  </si>
  <si>
    <t>สามารถ Upload ไฟล์ MS Project กับ 3D Model เพื่อประมวลผลแผนงาน</t>
  </si>
  <si>
    <t>สามารถมีโฟลเดอร์ Share ส่วนกลางเพื่อวางไฟล์ต่างๆ สำหรับสื่อสาร</t>
  </si>
  <si>
    <t>Requirement ของแผนก CCT &amp; CTR (COST &amp; Contract)</t>
  </si>
  <si>
    <t>ต้องการให้ Map Work Breakdown (No.)  ลงไปใน 3D Viewer เพื่อ Click ตรงตำแหน่งและให้แสดงผล</t>
  </si>
  <si>
    <r>
      <t xml:space="preserve">ต้องการรายงานสรุป Work Breakdown (No.) และค้นหาจากระบบได้
</t>
    </r>
    <r>
      <rPr>
        <b/>
        <u/>
        <sz val="14"/>
        <color rgb="FF000000"/>
        <rFont val="TH SarabunPSK"/>
        <family val="2"/>
        <charset val="222"/>
      </rPr>
      <t>ต้องการรายงานสรุป Work Breakdown (No.)</t>
    </r>
    <r>
      <rPr>
        <sz val="14"/>
        <color rgb="FF000000"/>
        <rFont val="TH SarabunPSK"/>
        <family val="2"/>
        <charset val="222"/>
      </rPr>
      <t xml:space="preserve"> หมายถึง สามารถ Export ปริมาณงานที่ Breakdown จากโปรแกรมออกมาในรูปแบบฟอร์ม BOQ และ WBS ID ได้ (ตามตัวอย่างที่เคยส่งให้ แบบฟอร์มเดียวกันกับ Estimate)
</t>
    </r>
    <r>
      <rPr>
        <b/>
        <u/>
        <sz val="14"/>
        <color rgb="FF000000"/>
        <rFont val="TH SarabunPSK"/>
        <family val="2"/>
        <charset val="222"/>
      </rPr>
      <t>สามรถค้นหาจากในระบบได้</t>
    </r>
    <r>
      <rPr>
        <sz val="14"/>
        <color rgb="FF000000"/>
        <rFont val="TH SarabunPSK"/>
        <family val="2"/>
        <charset val="222"/>
      </rPr>
      <t xml:space="preserve"> หมายถึง เมื่อทำการผูกกับ WBS ID แล้ว สามารถค้นหาโดยเลข WBS ID แล้วแสดงผลใน Model ได้เลย ว่าอยู่บริเวณไหน</t>
    </r>
  </si>
  <si>
    <t>ต้องการ Link Work Progress หน้างาน – Work Breakdown</t>
  </si>
  <si>
    <t>ต้องการ Compare / Diff  แบบ 3D (For Tender - For Con) ออกมาใน Dimension WBS  (Excel)</t>
  </si>
  <si>
    <t>ต้องการ Compare / Diff  แบบ VO ตามเอกสาร SI  (Daily)  ออกมาใน Dimension WBS (Excel) [VO: Variation Order]</t>
  </si>
  <si>
    <t>เพิ่ม Setting การ Scroll Up /Scroll Down ในการ Zoom In /Zoom Out</t>
  </si>
  <si>
    <t>เพิ่มเครื่องมือในการวัดเส้นรอบรูป</t>
  </si>
  <si>
    <t>เครื่องมือวัด Area เพิ่มฟังก์ชันในการแก้ไข สามารถเพิ่มลดจุด Mark ได้</t>
  </si>
  <si>
    <t>เพิ่มฟังก์ชันการ Upload ไฟล์ เพื่อใช้วัดปริมาณ</t>
  </si>
  <si>
    <t>เพิ่มเครื่องมือจัดการ Filter ในแถบ Markup เช่นการ ย่อ/ขยาย รายละเอียด, แสดงไฮไลท์เฉพาะที่เลือก, เลือกสีไฮไลท์</t>
  </si>
  <si>
    <t>ต้องการรายงานสรุป SI / Project ที่แสดงรายละเอียด และ Link 3D Viewer (Site Instruction: เอกสารสั่งงานเปลี่ยนแปลงจากแบบสัญญา)</t>
  </si>
  <si>
    <t>ต้องการเรียก View 3D View ตาม Historical Version ของ SI ที่เปลี่ยนแปลง</t>
  </si>
  <si>
    <t>ต้องการรายงานสรุป  Work Progress  (% ก้าวหน้า ตามหมวดของ BOQ) ออกมาใน Dimension WBS  (Excel)  และ 3D Viewer (ใช้สีแสดง Progress) และตามแต่ละช่วงเวลา (Period - Time Dimension)</t>
  </si>
  <si>
    <t>ต้องการให้ Attach File รูปประกอบ ในแต่ละ Work Progress</t>
  </si>
  <si>
    <t>ต้องการรายงานสรุป Work Progress ตามช่วงเวลาที่กำหนด</t>
  </si>
  <si>
    <t>ต้องการแบบฟอร์ม (รายงาน) ใบ Work Progress ที่มีรายละเอียด + รูปภาพประกอบ</t>
  </si>
  <si>
    <t>ต้องการ  3D Viewer ในรูปแบบของ Walkthrough</t>
  </si>
  <si>
    <t>ต้องการนำข้อมูล % Work Progress แสดงรายงานในรูปแบบ S-Curve (สัญญา - งบประมาณ)</t>
  </si>
  <si>
    <t>ต้องการนำข้อมูลจาก Master Plan (MS Project) แสดงรายงานในรูปแบบ S-Curve (แผนงบประมาณ / เวลาตามแผน)</t>
  </si>
  <si>
    <t>ต้องการให้สามารถ Update ข้อมูลการเบิกเงิน (ลูกค้า) แยกแต่ละชั้น</t>
  </si>
  <si>
    <t>ต้องการให้ระบุสาเหตุ ปัญหา ล่าช้า ลงใน Work Progress</t>
  </si>
  <si>
    <t>ต้องการแยก % Progress ตาม Scope ของแต่ละ Sub</t>
  </si>
  <si>
    <t>ต้องการ 3D Viewer แยก Scope / Area  งานของแต่ละ Sub + รายงานสรุป</t>
  </si>
  <si>
    <t>ต้องการ 3D Viewer แยก Scope / Area  งานของแต่ละ Sub / การจ่ายเงิน + รายงานสรุป</t>
  </si>
  <si>
    <t>All Report ต้องการรายงานสรุปรวมระบบ All Project</t>
  </si>
  <si>
    <t>ต้องการเปรียบเทียบไฟล์แบบ 2D (PDF / Image) เพื่อหาจุดต่าง (จับผิดภาพ)</t>
  </si>
  <si>
    <t>ระบุ Mile Stone เข้าไปใน 3D Viewer  Notify ตามช่วงเวลาที่กำหนด + Plan - Actual Date</t>
  </si>
  <si>
    <t>Send Notify เมื่อมีการ Upload new MS project</t>
  </si>
  <si>
    <t>ต้องการรายงานประเมินความล่าช้าสรุปทุกโครงการ (%Actual / Plan %)</t>
  </si>
  <si>
    <t>รายงานสรุป Mile Stone  All Projects แยกรายเดือน</t>
  </si>
  <si>
    <t>Requirement ของแผนก SAFETY</t>
  </si>
  <si>
    <t>สามารถเปิด Work Permit ให้หน้างานทำการตอบกลับ  และสามารถออกรายงานสรุป + แสดงสถานะใน 3D View ได้</t>
  </si>
  <si>
    <t>ให้ระบบมี Workflow การอนุมัติ Work Permit</t>
  </si>
  <si>
    <r>
      <t xml:space="preserve">Safety สามารถเข้าไป Comment ในใบงาน </t>
    </r>
    <r>
      <rPr>
        <strike/>
        <sz val="14"/>
        <color rgb="FF000000"/>
        <rFont val="TH SarabunPSK"/>
        <family val="2"/>
        <charset val="222"/>
      </rPr>
      <t>Work Progress</t>
    </r>
    <r>
      <rPr>
        <sz val="14"/>
        <color rgb="FF000000"/>
        <rFont val="TH SarabunPSK"/>
        <family val="2"/>
        <charset val="222"/>
      </rPr>
      <t xml:space="preserve"> ได้</t>
    </r>
  </si>
  <si>
    <t>Safety สามารถเปิดใบ Safety Patrol ในระบบได้ + Workflow เพื่อให้หน้างานทำ Action Plan ตอบกลับ</t>
  </si>
  <si>
    <t>Safety สามารถระบุจุด + ข้อมูล การเปิด Accidents ลงในระบบ ได้ + แสดงสถานะใน 3D View ได้</t>
  </si>
  <si>
    <t>ต้องการให้มีระบบ Safety Stop Card สำหรับหน้างานกดส่งข้อมูลเข้ามาในระบบ + Link ไป WorkLife + KPI</t>
  </si>
  <si>
    <t>ต้องการให้หน้างานสามารถสร้าง e-Form ให้หน้างานกรอก + ถ่ายภาพ เก็บข้อมูลในระบบ เพื่อให้ออกรายงานได้</t>
  </si>
  <si>
    <t>Requirement ของแผนก QA</t>
  </si>
  <si>
    <t xml:space="preserve">List เอกสารที่ต้องการเป็น e-Form  </t>
  </si>
  <si>
    <t>Common Data Environment (CDE) ซึ่งเป็นพื้นที่การจัดวางระบบการบริหารงานเพื่อเป็นการประกันคุณภาพซึ่งเป็นระบบที่ทำให้เชื่อมั่นได้ว่ากระบวนการต่างๆ ได้รับการควบคุมและสามารถตรวจสอบย้อนกลับได้</t>
  </si>
  <si>
    <t>แบบฟอร์ม Digital สำหรับงานประกันคุณภาพงานก่อสร้างที่สามารถบันทึกข้อมูลผ่านหน้า Web แล้วเก็บเข้าไปยังฐานข้อมูลกลางได้</t>
  </si>
  <si>
    <t>Status</t>
  </si>
  <si>
    <t>Remark</t>
  </si>
  <si>
    <t>Active</t>
  </si>
  <si>
    <t xml:space="preserve"> </t>
  </si>
  <si>
    <t>จ่ายแล้ว</t>
  </si>
  <si>
    <t>คงเหลือ</t>
  </si>
  <si>
    <t>มูลค่าสัญญา</t>
  </si>
  <si>
    <t>งวดที่ 1</t>
  </si>
  <si>
    <t>งวดที่ี่ 2-4</t>
  </si>
  <si>
    <t>% งาน</t>
  </si>
  <si>
    <t>มูลค่างาน</t>
  </si>
  <si>
    <t>diff</t>
  </si>
  <si>
    <t>if 1,190,000 = 100%</t>
  </si>
  <si>
    <t>if 1,700,000 = 100%</t>
  </si>
  <si>
    <t>Check</t>
  </si>
  <si>
    <t>Date</t>
  </si>
  <si>
    <t>Topic / Agenda</t>
  </si>
  <si>
    <t>Discussion</t>
  </si>
  <si>
    <t>Action Item</t>
  </si>
  <si>
    <t>Due Date</t>
  </si>
  <si>
    <t>Priority</t>
  </si>
  <si>
    <t>Comments</t>
  </si>
  <si>
    <t>High</t>
  </si>
  <si>
    <t>Pending</t>
  </si>
  <si>
    <t>Completed</t>
  </si>
  <si>
    <t>Medium</t>
  </si>
  <si>
    <t>In Progress</t>
  </si>
  <si>
    <t>Low</t>
  </si>
  <si>
    <t>Role</t>
  </si>
  <si>
    <t>Planning</t>
  </si>
  <si>
    <t xml:space="preserve">การอัพเดทแผนงานของงานสถาปัตย์  จะมีการปรับปรุงหน้าตาการแสดงผล เพิ่มความสามารถในการใส่แผนงานเพิ่มเติม และจะเพิ่มข้อมูลของวัสดุเพื่อระบุสเปคที่ใช้งาน </t>
  </si>
  <si>
    <t>Planning List</t>
  </si>
  <si>
    <t>BIM Model</t>
  </si>
  <si>
    <t>ฟังก์ชัน Issue Model รองรับการอัปโหลดไฟล์ได้แล้ว ปัจจุบันเมื่อกดไฟล์ระบบจะบังคับดาวน์โหลด และมีแผนเพิ่มฟังก์ชัน Preview สำหรับแสดงตัวอย่างไฟล์</t>
  </si>
  <si>
    <t>Issue Model</t>
  </si>
  <si>
    <t>Estimate</t>
  </si>
  <si>
    <t>พบปัญหาเมื่อทำการ Mapping รายการและกด Save ข้อมูล รายการที่เพิ่มใหม่ไม่แสดงผลหลังกลับเข้ามาใช้งานอีกครั้ง แม้เลขรายการยังคงอยู่</t>
  </si>
  <si>
    <t>Blank BOQ Setting</t>
  </si>
  <si>
    <t>เสนอให้ปรับปรุงการแสดงผลรายการ BOQ ที่มีชื่อซ้ำกัน โดยระบุหมวดงานหรือแหล่งที่มาของปริมาณให้ชัดเจน</t>
  </si>
  <si>
    <t>พบปัญหาเมื่อทำการ Mapping แล้วเปลี่ยนเป็น Level ทำให้ชิ้นส่วนบางรายการหายไป ขณะที่หน้าอื่นยังแสดงผลปกติ Production - Chapter Charoen-Krung</t>
  </si>
  <si>
    <t>พบปัญหาแผนงานซ้ำ (Duplicate) เมื่อกดแก้ไขหรือเพิ่ม Element</t>
  </si>
  <si>
    <t>Compare</t>
  </si>
  <si>
    <t>พบความผิดปกติในการแสดงผลของฟังก์ชัน X-ray และ เสนอให้ปรับปรุงการแสดงชื่อที่เป็น Code ให้เข้าใจง่ายขึ้น</t>
  </si>
  <si>
    <t>X-rey</t>
  </si>
  <si>
    <t>Excel Export มีการเพิ่ม ElementName แต่ยังมี GUID อยู่</t>
  </si>
  <si>
    <t>เมื่อเลือก Model เพื่อทำการ Compare ระบบแสดงผลเฉพาะ Model ล่าสุดที่เลือก</t>
  </si>
  <si>
    <t>compare</t>
  </si>
  <si>
    <t>พบปัญหาการแสดงผล General Data ในหน้า BIM Model แม้ตั้งค่าเปิดใช้งานแล้วแต่ข้อมูลไม่แสดงผล และให้นำค่าที่ใส่เป็นเลขตัวอย่างออก</t>
  </si>
  <si>
    <t>Properties</t>
  </si>
  <si>
    <t>ใน UAT สามารถใช้งานได้ปกติ แต่ใน Production ไม่สามารถใช้งานได้</t>
  </si>
  <si>
    <t>Account/Planning</t>
  </si>
  <si>
    <t>พบปัญหาบาง Account สามารถใช้งานหน้า Planning ได้เฉพาะบน Chrome หรือ Edge เท่านั้น และเกิดอาการหน้าจอดำในบางกรณี</t>
  </si>
  <si>
    <t>User/Planning</t>
  </si>
  <si>
    <t>อยู่ระหว่างหาสาเหตุเพิ่มเติม</t>
  </si>
  <si>
    <t>Account</t>
  </si>
  <si>
    <t>เมื่อกรอกรหัสผ่านผิด ระบบเปลี่ยน Logo บนแท็บ Browser เป็น “Integreta”</t>
  </si>
  <si>
    <t>User</t>
  </si>
  <si>
    <t>Add-ins</t>
  </si>
  <si>
    <t>เสนอให้ปรับปรุงการ Update ของ Add-ins ให้มีการกด "Synce"</t>
  </si>
  <si>
    <t>ฟังก์ชัน Planning ไม่สามารถอัปเดตงานชั้น 6–7 ของโครงการ Chapter Charoen-Krung</t>
  </si>
  <si>
    <t>ปรับปรุงการแสดงค่าปริมาณในหน้า Compare โดยลดจำนวนทศนิยมจาก 14 ตำแหน่ง เหลือ 3 ตำแหน่ง เพื่อให้เหลือข้อมูลเท่าที่ใช้งาน</t>
  </si>
  <si>
    <t>ลบรายการ BOQ ที่ไม่ได้ใช้งานออกจากหน้า</t>
  </si>
  <si>
    <t>มีปุ่มลบ แต่ไม่สามารถลบได้</t>
  </si>
  <si>
    <t>ฟังก์ชัน Export Sheet สร้างโฟลเดอร์แล้วระบบไม่แสดงโฟลเดอร์หลังทำการ Export</t>
  </si>
  <si>
    <t>Export Sheet</t>
  </si>
  <si>
    <t>รอการอัพเดท Add-ins</t>
  </si>
  <si>
    <t>ฟังก์ชัน Publish Schedule ในหน้า Add-ins ไม่สามารถทำการ Export</t>
  </si>
  <si>
    <t>Publish Schedule</t>
  </si>
  <si>
    <t>ทาง Thailand BIM User แจ้งว่าจะดำเนินการนำฟังก์ชันดังกล่าวออก เนื่องจากไม่มีการใช้งาน (รอการอัพเดท Add-ins)</t>
  </si>
  <si>
    <t>Project</t>
  </si>
  <si>
    <t>ปรับรูปแบบการแสดงโฟลเดอร์ในหน้า Project ให้แสดงผลแยกตามแผนกของแต่ละหน่วยงาน</t>
  </si>
  <si>
    <t>My Project</t>
  </si>
  <si>
    <t>เพิ่มโฟลเดอร์ Incoming สำหรับแผนก BIM ในหน้า Project</t>
  </si>
  <si>
    <t>อัพโหลดไฟล์แล้วขึ้น Error</t>
  </si>
  <si>
    <t>Document Approval</t>
  </si>
  <si>
    <t>รอการทดสอบ</t>
  </si>
  <si>
    <t>ฟังก์ชัน Forgot Password ไม่สามารถเปลี่ยนรหัสผ่านได้ ในหน้าเข้าสู่ระบบ</t>
  </si>
  <si>
    <t>รหัส Reset ยังไม่สามารถใช้งานได้</t>
  </si>
  <si>
    <t>Cost</t>
  </si>
  <si>
    <t>Cost SC อยู่ระหว่างดำเนินการแก้ไขการแสดงผลข้อมูลระหว่าง BIM - SC</t>
  </si>
  <si>
    <t>SC</t>
  </si>
  <si>
    <t>จะมีการอัปเดตฟังก์ชัน Compare 2D โดยเพิ่มความสามารถในการตรวจจับโฟลเดอร์ที่เชื่อมโยงกับฟังก์ชัน รวมถึงรองรับการอัปโหลดไฟล์จากเครื่องคอมพิวเตอร์โดยตรง</t>
  </si>
  <si>
    <t>2D</t>
  </si>
  <si>
    <t xml:space="preserve">Prototype สำหรับการถอดปริมาณ 2D กำลังปรับแก้การแสดงผลให้ง่ายต่อการใช้งาน </t>
  </si>
  <si>
    <t>Monitoring</t>
  </si>
  <si>
    <t>ในหน้า Mapping แผนงาน ระบบไม่แสดงรายการประเภทงานให้เลือก</t>
  </si>
  <si>
    <t>Architecture</t>
  </si>
  <si>
    <t>ในหน้า Mapping แผนงาน เมื่อมีการเลือก Task ระบบจะไฮไลท์ตัวโมเดลไปด้วย</t>
  </si>
  <si>
    <t>ปรับปรุงการแสดงผลของ Update Progress โดยเพิ่มปุ่มปิด เพื่อให้สามารถปิดหน้าต่างได้เมื่อไม่ต้องการใช้งาน</t>
  </si>
  <si>
    <t>ปรับปรุงการเลือก Element ในขั้นตอน Update Progress โดยเพิ่มการไฮไลท์เพื่อแสดงให้ผู้ใช้งานทราบว่าระบบกำลังอัปเดตโมเดลของชั้นใดอยู่</t>
  </si>
  <si>
    <t>ปรับปรุงหน้าจัดการรายการหมวดงาน โดยเมื่อมีการเพิ่มหมวดงานใหม่ ระบบจะแสดงรายการที่เพิ่มล่าสุดไว้ด้านบนของรายการ</t>
  </si>
  <si>
    <t>ฟังก์ชัน Monitoring งานสถาปัตย์ หลังจาก Setup model และตั้งค่าข้อมูลต่าง ๆ เรียบร้อยแล้ว เช่น การ Mapping แผนงานกับ Model / Building / Level และการจัดการรายการหมวดงาน เมื่อมีการแก้ไข Setup Model ภายหลัง ข้อมูลและการตั้งค่าที่เคยดำเนินการไว้ทั้งหมดถูกลบหรือหายไป</t>
  </si>
  <si>
    <t>ฟังก์ชัน Monitoring ของงานสถาปัตย์ ข้อมูลในหน้า Update Progress แสดงผลไม่ครบถ้วน</t>
  </si>
  <si>
    <t>ฟังก์ชัน Compare ใน Monitoring งานโครงสร้างของโครงการ Omega C พบว่าข้อมูล Plan แสดงผลไม่ครบถ้วน โดยรายการงานหลังคาไม่ปรากฏในผลการเปรียบเทียบ แม้ว่าจะมีการ Mapping แผนงานดังกล่าวไว้ในหน้า Planning เรียบร้อยแล้ว</t>
  </si>
  <si>
    <t>Structure</t>
  </si>
  <si>
    <t>อยู่ระหว่างดำเนินการปรับปรุงและแก้ไขการดึงข้อมูลเอกสารเดิม</t>
  </si>
  <si>
    <t>Upload &amp; Manage Completed Docs</t>
  </si>
  <si>
    <t>แก้ไขปัญหาในโครงการ ETON เมื่อผู้ใช้งานเลือกดูเอกสารในหมวดงาน ST-AR เอกสารกลับไปแสดงในหมวด General แทน ทำให้การแสดงผลเอกสารไม่ตรงกับหมวดงานที่เลือก</t>
  </si>
  <si>
    <t>Dashboard</t>
  </si>
  <si>
    <t>ตรวจสอบกรณีผู้ใช้งานที่ถูกเพิ่มเข้าสู่โครงการแล้ว แต่ภายหลังไม่พบรายชื่อผู้ใช้งานดังกล่าวในโครงการที่ถูกเพิ่มไว้</t>
  </si>
  <si>
    <t>Member</t>
  </si>
  <si>
    <t xml:space="preserve"> โดยอยู่ระหว่างติดตามและตรวจสอบสาเหตุเพิ่มเติม เพื่อยืนยันว่าเกิดจากความผิดพลาดของระบบ (System Error) หรือความผิดพลาดจากการดำเนินงานของผู้ใช้งาน (Human Error)</t>
  </si>
  <si>
    <t>Topics</t>
  </si>
  <si>
    <t>Detail</t>
  </si>
  <si>
    <t>issue</t>
  </si>
  <si>
    <t>Access</t>
  </si>
  <si>
    <t>Document Approval Access</t>
  </si>
  <si>
    <t>Document type setting</t>
  </si>
  <si>
    <t>Create New Document Type</t>
  </si>
  <si>
    <t>Set Doc No.</t>
  </si>
  <si>
    <t>Set Due Date</t>
  </si>
  <si>
    <t>Set reviewer&amp;approver</t>
  </si>
  <si>
    <t>Set rev. format</t>
  </si>
  <si>
    <t>Draft document</t>
  </si>
  <si>
    <t>Save draft</t>
  </si>
  <si>
    <t>ข้อมูลที่กรอกไว้มาไม่ครบ</t>
  </si>
  <si>
    <t>Create New Document (ignore draft)</t>
  </si>
  <si>
    <t>ข้อมูล draft ขึ้นตลอดแม้จะ save draft ไปแล้ว</t>
  </si>
  <si>
    <t>Draft document (Recall)</t>
  </si>
  <si>
    <t>Edit and re-submit</t>
  </si>
  <si>
    <t>ไม่สามารถ edit ได้ (ต้องแก้ไข subject, แนบไฟล์เพิ่ม, แก้ไข description ได้)</t>
  </si>
  <si>
    <t>Pending doc. Approval</t>
  </si>
  <si>
    <t>Access only doc. require actions</t>
  </si>
  <si>
    <t>ไม่ว่าจะ role ไหน ในหน้า pending จะขึ้นเฉพาะเอกสารที่ตัวเองเกี่ยวข้อง เท่านั้น</t>
  </si>
  <si>
    <t>Access : Admin(role) only</t>
  </si>
  <si>
    <t>ปุ่ม Doc type setting ให้แค่ admin เท่านั้น</t>
  </si>
  <si>
    <t>Button Size</t>
  </si>
  <si>
    <t>Sizing all button</t>
  </si>
  <si>
    <t>ปรับขนาดปุ่มให้เท่ากัน</t>
  </si>
  <si>
    <t>Pending doc&amp;All doc</t>
  </si>
  <si>
    <t>Remove Type column</t>
  </si>
  <si>
    <t>ซ่อนคอลัมน์ Type ออกจากทั้งสองหน้า</t>
  </si>
  <si>
    <t>External / Internal</t>
  </si>
  <si>
    <t>แยก role External, Internal ออกจากกัน</t>
  </si>
  <si>
    <t>SUBMIT</t>
  </si>
  <si>
    <t>Document Approval ขึ้น Error</t>
  </si>
  <si>
    <t>NO</t>
  </si>
  <si>
    <t xml:space="preserve">Descriptions </t>
  </si>
  <si>
    <t>Checklist สำหรับ Demo ระบบ (13 ก.พ. 69)</t>
  </si>
  <si>
    <t>การนำเข้าข้อมูลและการจัดการแบบ</t>
  </si>
  <si>
    <t>การดึงโมเดลจากโฟลเดอร์มาตรฐาน</t>
  </si>
  <si>
    <t>-</t>
  </si>
  <si>
    <t>ระบบแสดงโฟลเดอร์มาตรฐานของโครงการอย่างชัดเจน</t>
  </si>
  <si>
    <r>
      <rPr>
        <sz val="14"/>
        <color rgb="FF000000"/>
        <rFont val="Angsana New"/>
        <family val="1"/>
      </rPr>
      <t xml:space="preserve">เมื่อมีโมเดลอยู่ในโฟลเดอร์ดังกล่าว </t>
    </r>
    <r>
      <rPr>
        <b/>
        <sz val="14"/>
        <color rgb="FF000000"/>
        <rFont val="Angsana New"/>
        <family val="1"/>
      </rPr>
      <t>"ระบบสามารถดึงโมเดลมาใช้งานได้ทันที "</t>
    </r>
  </si>
  <si>
    <t>ไม่จำเป็นต้อง Upload โมเดลซ้ำที่หน้าถอดปริมาณ (Estimate / Takeoff)</t>
  </si>
  <si>
    <t>โมเดลที่ถูกดึงมา 
                    - เปิดได้จริง STR ARC 
                    - แสดงผลได้ครบถ้วน 
                    - พร้อมใช้งานสำหรับ 3D Takeoff</t>
  </si>
  <si>
    <t>การเปิดและจัดการแบบ 2D (PDF Drawing)</t>
  </si>
  <si>
    <t>ระบบสามารถเปิดไฟล์ PDF จากโฟลเดอร์โครงการ (เช่น 04 Tender Drawing)</t>
  </si>
  <si>
    <t>สามารถเลือกหน้าแบบ (Page) เพื่อเตรียมถอดปริมาณได้</t>
  </si>
  <si>
    <t>แบบที่เปิดขึ้นมา
   - แสดงผลชัดเจน
   - พร้อมใช้งานสำหรับการวัด</t>
  </si>
  <si>
    <t>การนำเข้า Excel (Blank BOQ) และการจัดการไฟล์ Excel</t>
  </si>
  <si>
    <t>ประเด็นสำคัญจากที่ประชุม Excel เป็น “แหล่งอ้างอิงกลาง” ของ SC / Takeoff และต้อง ไม่เกิดการนำเข้าไฟล์ซ้ำซ้อน</t>
  </si>
  <si>
    <t>การเชื่อมโยง Excel กับ Take off</t>
  </si>
  <si>
    <t>เมื่อมีการ Take off (2D หรือ 3D) ข้อมูลจะถูกบันทึกลง Excel ปลายทางเดียวกัน</t>
  </si>
  <si>
    <t>ระบบระบุได้ชัดเจนว่า Excel ปลายทางถูกจัดเก็บไว้ที่ใด</t>
  </si>
  <si>
    <t>การแก้ไขปริมาณต้องทำผ่านระบบ (2D / 3D Takeoff)
  ⛔ ไม่แก้ตรงในไฟล์ Excel โดยตรง</t>
  </si>
  <si>
    <t>การป้องกันการนำเข้า Excel ซ้ำซ้อน (Duplicate Control)</t>
  </si>
  <si>
    <t>หากมี Excel ถูกนำเข้าแล้ว ระบบแสดงรายการ Excel ที่ใช้งานอยู่</t>
  </si>
  <si>
    <t>ระบบไม่อนุญาตให้นำเข้า Excel ไฟล์เดิมซ้ำอีกครั้ง</t>
  </si>
  <si>
    <t>ผู้ใช้งานสามารถตรวจสอบได้ว่า Excel ปัจจุบันมาจาก
   - Mapping SC
   - Take off 2D
   - Take off 3D</t>
  </si>
  <si>
    <t>ความสอดคล้องของ Excel กับข้อมูลในระบบ</t>
  </si>
  <si>
    <t>ข้อมูลใน Excel สอดคล้องกับข้อมูลใน SC</t>
  </si>
  <si>
    <t>ปริมาณจาก 2D และ 3D ถูกรวมและอัปเดตใน Excel เดียวกัน</t>
  </si>
  <si>
    <t>ไม่มีการสร้าง Excel ใหม่โดยไม่จำเป็น ระหว่างการทำงานของหลายคน</t>
  </si>
  <si>
    <t>Mapping SC</t>
  </si>
  <si>
    <t>การโหลดข้อมูลอัตโนมัติ (Auto Load)</t>
  </si>
  <si>
    <r>
      <rPr>
        <sz val="14"/>
        <color rgb="FF000000"/>
        <rFont val="Angsana New"/>
        <family val="1"/>
      </rPr>
      <t xml:space="preserve">เมื่อเลือกรายการ SC ระบบทำการโหลดข้อมูลที่เกี่ยวข้องขึ้นมา </t>
    </r>
    <r>
      <rPr>
        <b/>
        <sz val="14"/>
        <color rgb="FF000000"/>
        <rFont val="Angsana New"/>
        <family val="1"/>
      </rPr>
      <t>โดยอัตโนมัติ</t>
    </r>
  </si>
  <si>
    <t>ไม่จำเป็นต้องกด Refresh หรือโหลดซ้ำด้วยตนเอง</t>
  </si>
  <si>
    <t>ข้อมูลที่โหลดขึ้นมาตรงกับรายการที่เลือก</t>
  </si>
  <si>
    <t>การดึงข้อมูลรายการและหน่วย (Unit)</t>
  </si>
  <si>
    <t>ระบบดึง หน่วย (Unit) มาพร้อมกับรายการโดยอัตโนมัติ</t>
  </si>
  <si>
    <t>หน่วยที่ดึงมาแสดงถูกต้องตาม BOQ / SC</t>
  </si>
  <si>
    <t>กรณีที่อนุญาตให้แก้ไขหน่วย</t>
  </si>
  <si>
    <t>[ ] แสดงเป็น Dropdown สำหรับเลือกหน่วย</t>
  </si>
  <si>
    <t>[ ] ไม่ต้องพิมพ์หน่วยเอง เพื่อลดความผิดพลาด</t>
  </si>
  <si>
    <t>Take off 3D</t>
  </si>
  <si>
    <t>ตารางรายละเอียด Qty Takeoff</t>
  </si>
  <si>
    <t>รูปแบบตาราง Qty Takeoff ถูกปรับปรุงใหม่จากเวอร์ชันเดิม</t>
  </si>
  <si>
    <t>ตารางแสดงรายการอย่างเป็นระเบียบ อ่านง่าย</t>
  </si>
  <si>
    <t>ข้อมูลในตารางสัมพันธ์กับโมเดลที่เลือกถอดปริมาณ</t>
  </si>
  <si>
    <t>การแสดงผลไม่บังโมเดล หรือสามารถแยกหน้าต่างได้</t>
  </si>
  <si>
    <t>ปลายทางไฟล์ Excel จากการ Take off (3D)</t>
  </si>
  <si>
    <r>
      <rPr>
        <sz val="14"/>
        <color rgb="FF000000"/>
        <rFont val="Angsana New"/>
        <family val="1"/>
      </rPr>
      <t>อาจารย์แสดงให้เห็นชัดเจนว่า "</t>
    </r>
    <r>
      <rPr>
        <b/>
        <sz val="14"/>
        <color rgb="FF000000"/>
        <rFont val="Angsana New"/>
        <family val="1"/>
      </rPr>
      <t xml:space="preserve"> ไฟล์ Excel จากการ Take off ถูกจัดเก็บไว้ที่ใด</t>
    </r>
    <r>
      <rPr>
        <sz val="14"/>
        <color rgb="FF000000"/>
        <rFont val="Angsana New"/>
        <family val="1"/>
      </rPr>
      <t xml:space="preserve"> " </t>
    </r>
  </si>
  <si>
    <t>หลังจากทำ Take off แล้ว [ ] ข้อมูลถูกบันทึก (Save) ลงในไฟล์ Excel จริง</t>
  </si>
  <si>
    <t>สามารถเปิดไฟล์ Excel เพื่อตรวจสอบข้อมูลที่ถูกบันทึกได้</t>
  </si>
  <si>
    <t>** ปัจจุบันพบว่า ข้อมูลหลัง Take off ยังไม่ถูก Save ลง Excel → ต้อง Demo ให้เห็นว่าปัญหานี้แก้แล้วหรือยัง</t>
  </si>
  <si>
    <t>Take off 2D</t>
  </si>
  <si>
    <t>การเลือก Level</t>
  </si>
  <si>
    <t>มี Dropdown สำหรับเลือก Level (ชั้น) ในหน้า Take off 2D</t>
  </si>
  <si>
    <t>Level ที่แสดงอ้างอิงจากข้อมูลโมเดล</t>
  </si>
  <si>
    <t>เลือก Level แล้ว ระบบบันทึก Level นั้นไปพร้อมข้อมูลปริมาณ</t>
  </si>
  <si>
    <t>การบันทึกข้อมูล Take off 2D</t>
  </si>
  <si>
    <t>หลังจากทำ Take off 2D แล้ว [ ] ข้อมูลถูกบันทึก (Save) ลงในตาราง Excel</t>
  </si>
  <si>
    <t>ข้อมูล 2D แยกหรือรวมกับ 3D อย่างชัดเจนใน Excel</t>
  </si>
  <si>
    <t>ไม่มีข้อมูลสูญหายหลังปิดหน้าจอหรือออกจากระบบ</t>
  </si>
  <si>
    <t>Update Progress</t>
  </si>
  <si>
    <t>การนำเสนอแนวทาง Update Progress</t>
  </si>
  <si>
    <t>อาจารย์อธิบายแนวทางการ Update Progress ของระบบ</t>
  </si>
  <si>
    <t>แสดงโครงสร้างหรือ Flow การอัปเดตความคืบหน้า</t>
  </si>
  <si>
    <t>ระบุชัดเจนว่า</t>
  </si>
  <si>
    <t>[ ] จะอัปเดตจากข้อมูลใด</t>
  </si>
  <si>
    <t>[ ] ผูกกับ SC / WBS / Model อย่างไร</t>
  </si>
  <si>
    <t>SYNTEC — BIM Department | CMP Adoption Tracking
ข้อมูลจาก BIM Department (BIM Department Data)</t>
  </si>
  <si>
    <t>รายงานสถานะการใช้งาน Construction Management Platform — อัปเดตล่าสุด (Last updated): 2025-10-29</t>
  </si>
  <si>
    <t>Project Code</t>
  </si>
  <si>
    <t>Project Name</t>
  </si>
  <si>
    <t>Project owner</t>
  </si>
  <si>
    <t>CMP Status</t>
  </si>
  <si>
    <t>CMP Go-Live Date</t>
  </si>
  <si>
    <t>3D Model</t>
  </si>
  <si>
    <t>Latest Model Update</t>
  </si>
  <si>
    <t>Models Covered
(Disciplines)</t>
  </si>
  <si>
    <t>มีแบบก่อสร้าง
Construction Drawings</t>
  </si>
  <si>
    <t>Latest Drawing Update</t>
  </si>
  <si>
    <t xml:space="preserve">Document Approval </t>
  </si>
  <si>
    <t>บันทึก | Notes</t>
  </si>
  <si>
    <t>Overall Summary</t>
  </si>
  <si>
    <t>ID00441</t>
  </si>
  <si>
    <t>OMEGA Bangna (Building C)</t>
  </si>
  <si>
    <t>OMEGA LOGISTIC CAMPUS CO., LTD.</t>
  </si>
  <si>
    <t>Ready to use</t>
  </si>
  <si>
    <t>N/A</t>
  </si>
  <si>
    <t>Model Available / In Use</t>
  </si>
  <si>
    <t>AR</t>
  </si>
  <si>
    <t>Pending Update</t>
  </si>
  <si>
    <t>อยู่ระหว่างการติดต่อประสานงานกับทางไซต์</t>
  </si>
  <si>
    <r>
      <rPr>
        <b/>
        <sz val="16"/>
        <color rgb="FF000000"/>
        <rFont val="Angsana New"/>
        <family val="1"/>
      </rPr>
      <t xml:space="preserve"> 1. สถานะการใช้ Syntec Platform (26 Project)
</t>
    </r>
    <r>
      <rPr>
        <sz val="16"/>
        <color rgb="FF000000"/>
        <rFont val="Angsana New"/>
        <family val="1"/>
      </rPr>
      <t xml:space="preserve">    🟢Active = 2 Project ( ≈ 7.69 % )
    🟡Ready = 7 Project  ( ≈ 26.92 % )
    ⚪Not = 17 Project  ( ≈ 65.38 % )
</t>
    </r>
    <r>
      <rPr>
        <b/>
        <sz val="16"/>
        <color rgb="FF000000"/>
        <rFont val="Angsana New"/>
        <family val="1"/>
      </rPr>
      <t xml:space="preserve"> 2. สถานะ 3D Model 
</t>
    </r>
    <r>
      <rPr>
        <sz val="16"/>
        <color rgb="FF000000"/>
        <rFont val="Angsana New"/>
        <family val="1"/>
      </rPr>
      <t xml:space="preserve">    🟢 Model Available / In Use = 25 Project ( ≈ 92.31 % )
    🟡 Pending Model Update = 1 Project ( ≈ 3.85 % )
    ⚪ Not Participating in 3D Model = 1 Project ( ≈ 3.85 % )
</t>
    </r>
    <r>
      <rPr>
        <b/>
        <sz val="16"/>
        <color rgb="FF000000"/>
        <rFont val="Angsana New"/>
        <family val="1"/>
      </rPr>
      <t xml:space="preserve"> 3. Construction Drawings (แบบก่อสร้าง)
</t>
    </r>
    <r>
      <rPr>
        <sz val="16"/>
        <color rgb="FF000000"/>
        <rFont val="Angsana New"/>
        <family val="1"/>
      </rPr>
      <t xml:space="preserve">     🟢Available  = 5 Project ( ≈ 19.23 % )
     🟡Pending Update = 21 Project ( ≈ 80.77 % ) 
</t>
    </r>
    <r>
      <rPr>
        <b/>
        <sz val="16"/>
        <color rgb="FF000000"/>
        <rFont val="Angsana New"/>
        <family val="1"/>
      </rPr>
      <t xml:space="preserve"> 4. Document Approval
</t>
    </r>
    <r>
      <rPr>
        <sz val="16"/>
        <color rgb="FF000000"/>
        <rFont val="Angsana New"/>
        <family val="1"/>
      </rPr>
      <t xml:space="preserve">     🟢Active = 1 Project ( ≈ 3.85 % )
     🟡Ready = 1 Project ( ≈ 3.85 % )
     ⚪Not = 24 Project ( ≈ 92.30 % )
</t>
    </r>
  </si>
  <si>
    <t>ID00440</t>
  </si>
  <si>
    <t>Chapter Charoen Krung- Riverside</t>
  </si>
  <si>
    <t>PS RIVERSIDE CO., LTD.</t>
  </si>
  <si>
    <t>Pending Model Update</t>
  </si>
  <si>
    <t>ID00439</t>
  </si>
  <si>
    <t>Clubhouse Project at RBSC</t>
  </si>
  <si>
    <t>The Royal Bangkok Sports Club</t>
  </si>
  <si>
    <t>ST,AR</t>
  </si>
  <si>
    <t>ID00438</t>
  </si>
  <si>
    <t>Best Western Jomtien Beach Pattaya</t>
  </si>
  <si>
    <t xml:space="preserve"> DPLUS89 CO., LTD.</t>
  </si>
  <si>
    <t>ST</t>
  </si>
  <si>
    <t>ID00434</t>
  </si>
  <si>
    <t>Reference Kaset</t>
  </si>
  <si>
    <t>SC CD3 COMPANY LIMITED</t>
  </si>
  <si>
    <t>AR,ST</t>
  </si>
  <si>
    <t>ID00442</t>
  </si>
  <si>
    <t>Siam Pan Pacific Hotel</t>
  </si>
  <si>
    <t>บริษัท สยามกลการ จํากัด</t>
  </si>
  <si>
    <t>ID00432</t>
  </si>
  <si>
    <t>Highgate International School</t>
  </si>
  <si>
    <t xml:space="preserve"> SIAM GLOBAL EDUCATION CO., LTD.</t>
  </si>
  <si>
    <t>Available</t>
  </si>
  <si>
    <t>รอเปิด Document Approval</t>
  </si>
  <si>
    <t>ID00431</t>
  </si>
  <si>
    <t>Dulwich College International School Bangkok</t>
  </si>
  <si>
    <t>DC BANGKOK PROPERTY CO., LTD.</t>
  </si>
  <si>
    <t>ใช้งานเต็มระบบ</t>
  </si>
  <si>
    <t>ID00430</t>
  </si>
  <si>
    <t>Phattharavej Hospital Samut Prakan</t>
  </si>
  <si>
    <t xml:space="preserve"> JATU CHAROENPAT COMPANY LIMITED</t>
  </si>
  <si>
    <t>Not to use</t>
  </si>
  <si>
    <t>PROGRESS CONSTRUCTION :40.96%</t>
  </si>
  <si>
    <t>ID00429</t>
  </si>
  <si>
    <t>Chapter One More Kaset (Piling Work)</t>
  </si>
  <si>
    <t xml:space="preserve"> PREUKSA REAL ESTATE PUBLIC COMPANY LIMITED</t>
  </si>
  <si>
    <t> </t>
  </si>
  <si>
    <t>ID00428</t>
  </si>
  <si>
    <t>Boutique Bangkok Sukhumvit 5</t>
  </si>
  <si>
    <t xml:space="preserve"> BOUTIQUE BANGKOK SUKHUMVIT 5 LTD.</t>
  </si>
  <si>
    <t>ID00427</t>
  </si>
  <si>
    <t>8 Storey Carpark Building (Bangpakok 9 Hospital)</t>
  </si>
  <si>
    <t xml:space="preserve"> BANGPAKOK HOSPITAL GROUP CO., LTD.</t>
  </si>
  <si>
    <t>PROGRESS CONSTRUCTION :93.55%</t>
  </si>
  <si>
    <t>ID00426</t>
  </si>
  <si>
    <t>Chapter One More Kaset</t>
  </si>
  <si>
    <t>ID00425</t>
  </si>
  <si>
    <t>LBH Hotel Bangkok</t>
  </si>
  <si>
    <t xml:space="preserve"> CENTRAL TRADING CO., LTD.</t>
  </si>
  <si>
    <t>Not Participating in 3D Model</t>
  </si>
  <si>
    <t>End Project โมเดลไม่มี มีแค่ไฟล์ CAD</t>
  </si>
  <si>
    <t>ID00424</t>
  </si>
  <si>
    <t>Aspire Huaikhwang</t>
  </si>
  <si>
    <t xml:space="preserve"> AP ME 21 CO., LTD.</t>
  </si>
  <si>
    <t>ID00423</t>
  </si>
  <si>
    <t>Piyavate 2 Hospital Phase 1</t>
  </si>
  <si>
    <t xml:space="preserve"> PIYAVATE 2 PRANNOK CO., LTD.</t>
  </si>
  <si>
    <t>PROGRESS CONSTRUCTION :80.00%</t>
  </si>
  <si>
    <t>ID00422</t>
  </si>
  <si>
    <t>Wanvayla Na Chaophraya</t>
  </si>
  <si>
    <t xml:space="preserve"> LAND AND HOUSES PUBLIC COMPANY LIMITED.</t>
  </si>
  <si>
    <t>PROGRESS CONSTRUCTION :53.27</t>
  </si>
  <si>
    <t>ID00421</t>
  </si>
  <si>
    <t>Chapter One Spark Charan</t>
  </si>
  <si>
    <t>PROGRESS CONSTRUCTION :87.12%</t>
  </si>
  <si>
    <t>ID00420</t>
  </si>
  <si>
    <t>The Privacy Parc Taopoon</t>
  </si>
  <si>
    <t>PROGRESS CONSTRUCTION :92.31%</t>
  </si>
  <si>
    <t>ID00419</t>
  </si>
  <si>
    <t>Rhythm Charoennakhon Iconic</t>
  </si>
  <si>
    <t xml:space="preserve"> AP ME 20 CO., LTD.</t>
  </si>
  <si>
    <t>PROGRESS CONSTRUCTION :41.09%</t>
  </si>
  <si>
    <t>ID00418</t>
  </si>
  <si>
    <t>Fashion Carparking</t>
  </si>
  <si>
    <t xml:space="preserve"> SIAM RETAIL DEVELOPMENT CO., LTD.</t>
  </si>
  <si>
    <t>ID00417</t>
  </si>
  <si>
    <t>Plum Condo Central Station Phase 4</t>
  </si>
  <si>
    <t>PROGRESS CONSTRUCTION :97.05%</t>
  </si>
  <si>
    <t>ID00416</t>
  </si>
  <si>
    <t>NIST International School</t>
  </si>
  <si>
    <t xml:space="preserve"> NIST INTERNATIONAL SCHOOL</t>
  </si>
  <si>
    <t>PROGRESS CONSTRUCTION :89.72%</t>
  </si>
  <si>
    <t>ID00415</t>
  </si>
  <si>
    <t>Gulf Eastern Economic Corridor Hub</t>
  </si>
  <si>
    <t xml:space="preserve"> GULF ENERGY DEVELOPMENT PUBLIC COMPANY LIMITED</t>
  </si>
  <si>
    <t>PROGRESS CONSTRUCTION :98.35%</t>
  </si>
  <si>
    <t>ID00414</t>
  </si>
  <si>
    <t>Flexi Mega Space Bangna</t>
  </si>
  <si>
    <t xml:space="preserve"> SENA HHP 14 COMPANY LIMITED</t>
  </si>
  <si>
    <t>PROGRESS CONSTRUCTION :93.43%</t>
  </si>
  <si>
    <t>ID00413</t>
  </si>
  <si>
    <t>Roi Chak Sam (Custom House)</t>
  </si>
  <si>
    <t xml:space="preserve"> RABBIT HOLDINGS PUBLIC COMPANY LIMITED.</t>
  </si>
  <si>
    <t>PROGRESS CONSTRUCTION : 52.97%</t>
  </si>
  <si>
    <t>ID00406</t>
  </si>
  <si>
    <t>Grande Centre Point Ratchadamri 2</t>
  </si>
  <si>
    <t xml:space="preserve"> LH Mall &amp; Hotel Co.,Ltd.</t>
  </si>
  <si>
    <t>PROGRESS CONSTRUCTION :93.30%</t>
  </si>
  <si>
    <t>SYNTEC — BIM Department | CMP Usage Demonstration &amp; Training Plan
ข้อมูลจาก BIM Department (BIM Department Data)</t>
  </si>
  <si>
    <t>Construction Management Platform —  (Last updated): 2025-10-29</t>
  </si>
  <si>
    <t>Invite Sent</t>
  </si>
  <si>
    <t>Plan Status</t>
  </si>
  <si>
    <t>Proposed  Date</t>
  </si>
  <si>
    <t>Follow-up by</t>
  </si>
  <si>
    <t>Implement Date</t>
  </si>
  <si>
    <t>Contact</t>
  </si>
  <si>
    <t>YesNo</t>
  </si>
  <si>
    <t>Disciplines</t>
  </si>
  <si>
    <t>DrawingTypes</t>
  </si>
  <si>
    <t>confirm</t>
  </si>
  <si>
    <t>Jesada Suparam</t>
  </si>
  <si>
    <t>jesadas@synteccon.com</t>
  </si>
  <si>
    <t>Not planned</t>
  </si>
  <si>
    <t>LA</t>
  </si>
  <si>
    <t>IFC</t>
  </si>
  <si>
    <t>Awaiting confirm</t>
  </si>
  <si>
    <t>MEP</t>
  </si>
  <si>
    <t>As-built</t>
  </si>
  <si>
    <t>Verarus Intasit</t>
  </si>
  <si>
    <t>verarusi@synteccon.com</t>
  </si>
  <si>
    <t>Method Statement</t>
  </si>
  <si>
    <t>Parkpoom Ploypo</t>
  </si>
  <si>
    <t>parkpoomp@synteccon.com</t>
  </si>
  <si>
    <t>AR,LA</t>
  </si>
  <si>
    <t>Inspection &amp; Test Plan</t>
  </si>
  <si>
    <t>AR,MEP</t>
  </si>
  <si>
    <t>MEP,LA</t>
  </si>
  <si>
    <t>ST,MEP</t>
  </si>
  <si>
    <t>AR,MEP,LA</t>
  </si>
  <si>
    <t xml:space="preserve"> Mapping โมเดลแล้ว ไม่ขึ้นไฮไลท์สำหรับรายการที่ทำการ Mapping 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</si>
</sst>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F800]dddd\,\ mmmm\ dd\,\ yyyy"/>
    <numFmt numFmtId="166" formatCode="[$-409]d\-mmm\-yy;@"/>
  </numFmts>
  <fonts count="31" x14ac:knownFonts="1">
    <font>
      <sz val="11"/>
      <color theme="1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b/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4"/>
      <color rgb="FF000000"/>
      <name val="TH SarabunPSK"/>
      <family val="2"/>
      <charset val="222"/>
    </font>
    <font>
      <b/>
      <u/>
      <sz val="14"/>
      <color rgb="FF000000"/>
      <name val="TH SarabunPSK"/>
      <family val="2"/>
      <charset val="222"/>
    </font>
    <font>
      <strike/>
      <sz val="14"/>
      <color rgb="FF000000"/>
      <name val="TH SarabunPSK"/>
      <family val="2"/>
      <charset val="222"/>
    </font>
    <font>
      <sz val="11"/>
      <color rgb="FF000000"/>
      <name val="Wingdings"/>
      <charset val="2"/>
    </font>
    <font>
      <b/>
      <sz val="16"/>
      <color theme="1"/>
      <name val="Angsana New"/>
      <family val="1"/>
    </font>
    <font>
      <b/>
      <sz val="11"/>
      <color rgb="FF000000"/>
      <name val="Aptos Narrow"/>
      <family val="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14"/>
      <color rgb="FFFF0000"/>
      <name val="Angsana New"/>
      <family val="1"/>
    </font>
    <font>
      <b/>
      <sz val="16"/>
      <name val="Angsana New"/>
      <family val="1"/>
    </font>
    <font>
      <b/>
      <sz val="24"/>
      <color rgb="FFFFFFFF"/>
      <name val="Angsana New"/>
      <family val="1"/>
    </font>
    <font>
      <sz val="20"/>
      <color rgb="FFFFFFFF"/>
      <name val="Angsana New"/>
      <family val="1"/>
    </font>
    <font>
      <sz val="16"/>
      <color rgb="FF000000"/>
      <name val="Angsana New"/>
      <family val="1"/>
    </font>
    <font>
      <b/>
      <sz val="18"/>
      <name val="Angsana New"/>
      <family val="1"/>
    </font>
    <font>
      <sz val="16"/>
      <name val="Angsana New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8"/>
      <name val="Angsana New"/>
      <family val="1"/>
    </font>
    <font>
      <b/>
      <sz val="16"/>
      <color rgb="FF000000"/>
      <name val="Angsana New"/>
      <family val="1"/>
    </font>
    <font>
      <b/>
      <sz val="20"/>
      <color rgb="FFFFFFFF"/>
      <name val="Angsana New"/>
      <family val="1"/>
    </font>
    <font>
      <u/>
      <sz val="11"/>
      <color theme="10"/>
      <name val="Aptos Narrow"/>
      <family val="2"/>
      <charset val="222"/>
      <scheme val="minor"/>
    </font>
    <font>
      <sz val="14"/>
      <color rgb="FF000000"/>
      <name val="Angsana New"/>
      <family val="1"/>
    </font>
    <font>
      <b/>
      <sz val="14"/>
      <color rgb="FF000000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6"/>
      <color theme="1"/>
      <name val="Angsana New"/>
    </font>
    <font>
      <sz val="16"/>
      <color theme="4" tint="-0.249977111117893"/>
      <name val="Angsana New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5D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4C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9B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C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0B17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5" fillId="0" borderId="0" applyNumberFormat="0" applyFill="0" applyBorder="0" applyAlignment="0" applyProtection="0"/>
    <xf numFmtId="164" fontId="28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4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indent="1"/>
    </xf>
    <xf numFmtId="0" fontId="11" fillId="0" borderId="5" xfId="0" applyFont="1" applyBorder="1" applyAlignment="1">
      <alignment horizontal="center" vertical="center"/>
    </xf>
    <xf numFmtId="0" fontId="17" fillId="0" borderId="17" xfId="0" applyFont="1" applyBorder="1"/>
    <xf numFmtId="0" fontId="17" fillId="0" borderId="17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15" fontId="22" fillId="0" borderId="5" xfId="0" applyNumberFormat="1" applyFont="1" applyBorder="1" applyAlignment="1">
      <alignment horizontal="center" vertical="center" wrapText="1"/>
    </xf>
    <xf numFmtId="0" fontId="18" fillId="8" borderId="9" xfId="0" applyFont="1" applyFill="1" applyBorder="1" applyAlignment="1">
      <alignment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left" vertical="center" wrapText="1"/>
    </xf>
    <xf numFmtId="15" fontId="22" fillId="11" borderId="5" xfId="0" applyNumberFormat="1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left" vertical="center" wrapText="1"/>
    </xf>
    <xf numFmtId="15" fontId="22" fillId="12" borderId="5" xfId="0" applyNumberFormat="1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left" vertical="center" wrapText="1"/>
    </xf>
    <xf numFmtId="0" fontId="22" fillId="12" borderId="6" xfId="0" applyFont="1" applyFill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9" fillId="13" borderId="5" xfId="0" applyFont="1" applyFill="1" applyBorder="1" applyAlignment="1">
      <alignment horizontal="center" vertical="center" wrapText="1"/>
    </xf>
    <xf numFmtId="166" fontId="19" fillId="0" borderId="5" xfId="0" applyNumberFormat="1" applyFont="1" applyBorder="1" applyAlignment="1">
      <alignment horizontal="center" vertical="center" wrapText="1"/>
    </xf>
    <xf numFmtId="166" fontId="19" fillId="0" borderId="5" xfId="0" applyNumberFormat="1" applyFont="1" applyBorder="1" applyAlignment="1">
      <alignment horizontal="left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left" vertical="center" wrapText="1"/>
    </xf>
    <xf numFmtId="0" fontId="22" fillId="14" borderId="6" xfId="0" applyFont="1" applyFill="1" applyBorder="1" applyAlignment="1">
      <alignment horizontal="left" vertical="center" wrapText="1"/>
    </xf>
    <xf numFmtId="165" fontId="19" fillId="0" borderId="5" xfId="0" applyNumberFormat="1" applyFont="1" applyBorder="1" applyAlignment="1">
      <alignment horizontal="center" vertical="center" wrapText="1"/>
    </xf>
    <xf numFmtId="0" fontId="19" fillId="15" borderId="5" xfId="0" applyFont="1" applyFill="1" applyBorder="1" applyAlignment="1">
      <alignment horizontal="center" vertical="center" wrapText="1"/>
    </xf>
    <xf numFmtId="0" fontId="25" fillId="0" borderId="5" xfId="1" applyBorder="1" applyAlignment="1">
      <alignment horizontal="center" vertical="center" wrapText="1"/>
    </xf>
    <xf numFmtId="0" fontId="25" fillId="0" borderId="6" xfId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left" vertical="center" wrapText="1"/>
    </xf>
    <xf numFmtId="165" fontId="19" fillId="15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11" xfId="0" applyBorder="1" applyAlignment="1">
      <alignment horizontal="center"/>
    </xf>
    <xf numFmtId="0" fontId="11" fillId="0" borderId="6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26" fillId="0" borderId="5" xfId="0" applyFont="1" applyBorder="1" applyAlignment="1">
      <alignment horizontal="left" vertical="center" indent="1"/>
    </xf>
    <xf numFmtId="0" fontId="0" fillId="0" borderId="7" xfId="0" applyBorder="1" applyAlignment="1">
      <alignment horizontal="center"/>
    </xf>
    <xf numFmtId="0" fontId="26" fillId="0" borderId="6" xfId="0" applyFont="1" applyBorder="1" applyAlignment="1">
      <alignment horizontal="left" vertical="center" indent="1"/>
    </xf>
    <xf numFmtId="0" fontId="0" fillId="0" borderId="12" xfId="0" applyBorder="1" applyAlignment="1">
      <alignment horizontal="center" vertical="center"/>
    </xf>
    <xf numFmtId="0" fontId="11" fillId="0" borderId="12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4" xfId="0" applyFont="1" applyBorder="1" applyAlignment="1">
      <alignment horizontal="left" vertical="center" indent="1"/>
    </xf>
    <xf numFmtId="0" fontId="0" fillId="0" borderId="3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 indent="1"/>
    </xf>
    <xf numFmtId="0" fontId="13" fillId="0" borderId="35" xfId="0" applyFont="1" applyBorder="1" applyAlignment="1">
      <alignment horizontal="left" vertical="center" indent="1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16" borderId="44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right" vertical="center"/>
    </xf>
    <xf numFmtId="0" fontId="11" fillId="17" borderId="12" xfId="0" applyFont="1" applyFill="1" applyBorder="1" applyAlignment="1">
      <alignment horizontal="left" vertical="center" indent="1"/>
    </xf>
    <xf numFmtId="0" fontId="11" fillId="17" borderId="16" xfId="0" applyFont="1" applyFill="1" applyBorder="1" applyAlignment="1">
      <alignment horizontal="left" vertical="center" indent="1"/>
    </xf>
    <xf numFmtId="0" fontId="0" fillId="17" borderId="8" xfId="0" applyFill="1" applyBorder="1" applyAlignment="1">
      <alignment horizontal="center" vertical="center"/>
    </xf>
    <xf numFmtId="0" fontId="11" fillId="17" borderId="32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right" vertical="center"/>
    </xf>
    <xf numFmtId="0" fontId="11" fillId="17" borderId="6" xfId="0" applyFont="1" applyFill="1" applyBorder="1" applyAlignment="1">
      <alignment horizontal="left" vertical="center" indent="1"/>
    </xf>
    <xf numFmtId="0" fontId="11" fillId="17" borderId="7" xfId="0" applyFont="1" applyFill="1" applyBorder="1" applyAlignment="1">
      <alignment horizontal="left" vertical="center" indent="1"/>
    </xf>
    <xf numFmtId="0" fontId="0" fillId="17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7" borderId="24" xfId="0" applyFon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 wrapText="1"/>
    </xf>
    <xf numFmtId="166" fontId="17" fillId="0" borderId="5" xfId="0" applyNumberFormat="1" applyFont="1" applyBorder="1" applyAlignment="1">
      <alignment horizontal="center" vertical="center" wrapText="1"/>
    </xf>
    <xf numFmtId="0" fontId="19" fillId="9" borderId="18" xfId="0" applyFont="1" applyFill="1" applyBorder="1" applyAlignment="1">
      <alignment wrapText="1"/>
    </xf>
    <xf numFmtId="0" fontId="19" fillId="9" borderId="0" xfId="0" applyFont="1" applyFill="1" applyAlignment="1">
      <alignment wrapText="1"/>
    </xf>
    <xf numFmtId="164" fontId="0" fillId="0" borderId="0" xfId="2" applyFont="1"/>
    <xf numFmtId="164" fontId="0" fillId="2" borderId="0" xfId="2" applyFont="1" applyFill="1"/>
    <xf numFmtId="164" fontId="0" fillId="14" borderId="0" xfId="2" applyFont="1" applyFill="1" applyAlignment="1">
      <alignment horizontal="right"/>
    </xf>
    <xf numFmtId="164" fontId="0" fillId="0" borderId="0" xfId="2" applyFont="1" applyAlignment="1">
      <alignment horizontal="right"/>
    </xf>
    <xf numFmtId="164" fontId="0" fillId="0" borderId="0" xfId="0" applyNumberFormat="1"/>
    <xf numFmtId="0" fontId="29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4" fillId="5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17" borderId="6" xfId="0" applyFont="1" applyFill="1" applyBorder="1" applyAlignment="1">
      <alignment horizontal="left" vertical="center" indent="1"/>
    </xf>
    <xf numFmtId="0" fontId="11" fillId="17" borderId="7" xfId="0" applyFont="1" applyFill="1" applyBorder="1" applyAlignment="1">
      <alignment horizontal="left" vertical="center" inden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 indent="1"/>
    </xf>
    <xf numFmtId="0" fontId="11" fillId="17" borderId="16" xfId="0" applyFont="1" applyFill="1" applyBorder="1" applyAlignment="1">
      <alignment horizontal="left" vertical="center" indent="1"/>
    </xf>
    <xf numFmtId="0" fontId="9" fillId="0" borderId="42" xfId="0" applyFont="1" applyBorder="1" applyAlignment="1">
      <alignment horizontal="center" vertical="center" indent="1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17" borderId="5" xfId="0" applyFont="1" applyFill="1" applyBorder="1" applyAlignment="1">
      <alignment horizontal="left" vertical="center" indent="1"/>
    </xf>
    <xf numFmtId="0" fontId="12" fillId="0" borderId="22" xfId="0" applyFont="1" applyBorder="1" applyAlignment="1">
      <alignment horizontal="left" vertical="center"/>
    </xf>
    <xf numFmtId="0" fontId="12" fillId="16" borderId="39" xfId="0" applyFont="1" applyFill="1" applyBorder="1" applyAlignment="1">
      <alignment horizontal="left" vertical="center" indent="1"/>
    </xf>
    <xf numFmtId="0" fontId="12" fillId="16" borderId="40" xfId="0" applyFont="1" applyFill="1" applyBorder="1" applyAlignment="1">
      <alignment horizontal="left" vertical="center" indent="1"/>
    </xf>
    <xf numFmtId="0" fontId="12" fillId="16" borderId="43" xfId="0" applyFont="1" applyFill="1" applyBorder="1" applyAlignment="1">
      <alignment horizontal="left" vertical="center" inden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0" fontId="11" fillId="0" borderId="33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7" fillId="0" borderId="2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5" fillId="7" borderId="0" xfId="0" applyFont="1" applyFill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4" fillId="0" borderId="10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4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30" fillId="21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 wrapText="1"/>
    </xf>
    <xf numFmtId="0" fontId="0" fillId="0" borderId="0" xfId="0" applyFill="1"/>
    <xf numFmtId="165" fontId="30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Alignment="1">
      <alignment horizontal="left" vertical="top" wrapText="1"/>
    </xf>
    <xf numFmtId="0" fontId="30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left" vertical="center"/>
    </xf>
    <xf numFmtId="165" fontId="29" fillId="0" borderId="0" xfId="0" applyNumberFormat="1" applyFont="1" applyFill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29" fillId="0" borderId="0" xfId="0" applyFont="1" applyFill="1" applyAlignment="1">
      <alignment vertical="top"/>
    </xf>
    <xf numFmtId="0" fontId="29" fillId="0" borderId="0" xfId="0" applyFont="1" applyFill="1" applyAlignment="1">
      <alignment vertical="center" wrapText="1"/>
    </xf>
  </cellXfs>
  <cellStyles count="3">
    <cellStyle name="Comma" xfId="2" builtinId="3"/>
    <cellStyle name="Hyperlink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ngsana New"/>
        <scheme val="none"/>
      </font>
      <numFmt numFmtId="166" formatCode="[$-409]d\-mmm\-yy;@"/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numFmt numFmtId="166" formatCode="[$-409]d\-mmm\-yy;@"/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0B17A"/>
      <color rgb="FFFFADAD"/>
      <color rgb="FFFFE9B0"/>
      <color rgb="FFFFAC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104775</xdr:rowOff>
    </xdr:from>
    <xdr:to>
      <xdr:col>1</xdr:col>
      <xdr:colOff>790575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E8A06-A55D-211C-1903-B618CEC0C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04775"/>
          <a:ext cx="1038225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1</xdr:col>
      <xdr:colOff>838200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BBBFA-B08F-4064-B6F9-3E88514D0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1066800" cy="10477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DBFBD-88F2-4247-831A-6BD2D9749C10}" name="Table4" displayName="Table4" ref="B2:F16" totalsRowShown="0">
  <autoFilter ref="B2:F16" xr:uid="{75BDBFBD-88F2-4247-831A-6BD2D9749C10}"/>
  <tableColumns count="5">
    <tableColumn id="1" xr3:uid="{7E0A2D88-19F4-4A62-B694-2B8E7EB7E117}" name="No." dataDxfId="29">
      <calculatedColumnFormula array="1">_xlfn.SEQUENCE(COUNTA(D3:D16))</calculatedColumnFormula>
    </tableColumn>
    <tableColumn id="2" xr3:uid="{99D1962D-5B73-4AE9-A127-6A8238715389}" name="Topics"/>
    <tableColumn id="3" xr3:uid="{4F6A0413-1F92-4D9A-9175-80439972832E}" name="Detail"/>
    <tableColumn id="4" xr3:uid="{5FA1ABF3-4DFC-41FF-A59D-EBDE7E3AC4DD}" name="Check"/>
    <tableColumn id="5" xr3:uid="{F5FBB114-50B6-45CC-9E6A-F1C81C472074}" name="iss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B8EAAC-A401-4780-A4EC-E6745F5B2E3B}" name="Table5" displayName="Table5" ref="B2:C7" totalsRowShown="0">
  <autoFilter ref="B2:C7" xr:uid="{D4B8EAAC-A401-4780-A4EC-E6745F5B2E3B}"/>
  <tableColumns count="2">
    <tableColumn id="1" xr3:uid="{F1336C10-13B5-4A5A-AE80-F151FBD2E3B0}" name="No." dataDxfId="28"/>
    <tableColumn id="2" xr3:uid="{EBD97789-B495-4DF5-A9DA-8632EBAB6C33}" name="Det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E73FAB-6524-4044-816A-6746F2BFC328}" name="Table3" displayName="Table3" ref="A3:M30" insertRowShift="1" totalsRowShown="0" headerRowDxfId="27" dataDxfId="26" tableBorderDxfId="25">
  <autoFilter ref="A3:M30" xr:uid="{6FE73FAB-6524-4044-816A-6746F2BFC328}"/>
  <tableColumns count="13">
    <tableColumn id="1" xr3:uid="{C9DCB82E-BA30-4955-B2E2-1EBD5D10518B}" name="No." dataDxfId="24"/>
    <tableColumn id="2" xr3:uid="{817F073D-8CF9-4D0B-B63F-9688E09C3117}" name="Project Code" dataDxfId="23"/>
    <tableColumn id="3" xr3:uid="{220DFF6C-F49C-4C6A-99AD-03890434131A}" name="Project Name" dataDxfId="22"/>
    <tableColumn id="4" xr3:uid="{B8736C33-6757-4A11-8822-68300947AEBC}" name="Project owner" dataDxfId="21"/>
    <tableColumn id="5" xr3:uid="{AB5E8DB3-DF8A-4458-8F90-DE1D54D999C4}" name="CMP Status" dataDxfId="20"/>
    <tableColumn id="6" xr3:uid="{01574198-6580-4AEB-9CFB-95F096C64D49}" name="CMP Go-Live Date" dataDxfId="19"/>
    <tableColumn id="7" xr3:uid="{A36FC456-D9B8-4905-8C1E-74494B404D0A}" name="3D Model" dataDxfId="18"/>
    <tableColumn id="8" xr3:uid="{A579B7DA-CC78-4E04-BC44-18D8C5DA781F}" name="Latest Model Update" dataDxfId="17"/>
    <tableColumn id="9" xr3:uid="{39229867-EE41-4465-8F6B-01A68053C1AA}" name="Models Covered_x000a_(Disciplines)" dataDxfId="16"/>
    <tableColumn id="10" xr3:uid="{A6B7FCB5-1C5B-45E4-BF9C-DDA53654BBEE}" name="มีแบบก่อสร้าง_x000a_Construction Drawings" dataDxfId="15"/>
    <tableColumn id="11" xr3:uid="{131276A5-3E02-4DC5-8C98-D243E4CE4A5B}" name="Latest Drawing Update" dataDxfId="14"/>
    <tableColumn id="12" xr3:uid="{5B13FC9B-8FF8-450E-889D-820FF4A1A7C3}" name="Document Approval " dataDxfId="13"/>
    <tableColumn id="13" xr3:uid="{265203D5-CB0C-4B08-AF2C-647A03DBAA98}" name="บันทึก | Notes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25740-97F4-457E-9513-C9DF896AF0C5}" name="Table1" displayName="Table1" ref="A4:I12" insertRowShift="1" totalsRowShown="0" headerRowDxfId="11" dataDxfId="10" tableBorderDxfId="9">
  <autoFilter ref="A4:I12" xr:uid="{D7125740-97F4-457E-9513-C9DF896AF0C5}"/>
  <tableColumns count="9">
    <tableColumn id="1" xr3:uid="{62F958C9-835C-4FA5-8A1D-203624043106}" name="No." dataDxfId="8"/>
    <tableColumn id="2" xr3:uid="{C106DA31-AB9F-4E53-B3BB-4BCEF7D2486E}" name="Project Code" dataDxfId="7"/>
    <tableColumn id="3" xr3:uid="{602D8E32-4C9A-44B2-8C67-A2EDDBC45D59}" name="Project Name" dataDxfId="6"/>
    <tableColumn id="4" xr3:uid="{09A708D6-3BA2-43B9-A182-DE3EC4825DA3}" name="Invite Sent" dataDxfId="5"/>
    <tableColumn id="5" xr3:uid="{C26EA2E9-15F6-46CD-80BA-19AE6FFB50B7}" name="Plan Status" dataDxfId="4"/>
    <tableColumn id="6" xr3:uid="{2F2DA7D3-DD03-4B69-801B-4214C531BC14}" name="Proposed  Date" dataDxfId="3"/>
    <tableColumn id="7" xr3:uid="{5FE911C3-7273-4E6B-965C-9BB12E4CB441}" name="Follow-up by" dataDxfId="2"/>
    <tableColumn id="8" xr3:uid="{514DDF8E-33EF-4530-8C79-9FF42B0733ED}" name="Implement Date" dataDxfId="1"/>
    <tableColumn id="9" xr3:uid="{936DD610-30EF-404B-9129-31C1EEF3675F}" name="Contac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arkpoomp@synteccon.com" TargetMode="External"/><Relationship Id="rId2" Type="http://schemas.openxmlformats.org/officeDocument/2006/relationships/hyperlink" Target="mailto:verarusi@synteccon.com" TargetMode="External"/><Relationship Id="rId1" Type="http://schemas.openxmlformats.org/officeDocument/2006/relationships/hyperlink" Target="mailto:jesadas@synteccon.com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1C60-E38E-49D9-883D-0C96D8C82B2D}">
  <sheetPr>
    <tabColor rgb="FF00B0F0"/>
    <pageSetUpPr fitToPage="1"/>
  </sheetPr>
  <dimension ref="A1:H85"/>
  <sheetViews>
    <sheetView topLeftCell="A54" zoomScaleNormal="100" workbookViewId="0">
      <selection activeCell="I80" sqref="I80"/>
    </sheetView>
  </sheetViews>
  <sheetFormatPr defaultColWidth="8.625" defaultRowHeight="21.75" x14ac:dyDescent="0.5"/>
  <cols>
    <col min="1" max="1" width="3.75" style="14" bestFit="1" customWidth="1"/>
    <col min="2" max="2" width="81.125" style="12" customWidth="1"/>
    <col min="3" max="3" width="6" style="12" bestFit="1" customWidth="1"/>
    <col min="4" max="4" width="7" style="12" bestFit="1" customWidth="1"/>
    <col min="5" max="16384" width="8.625" style="12"/>
  </cols>
  <sheetData>
    <row r="1" spans="1:8" x14ac:dyDescent="0.5">
      <c r="A1" s="112" t="s">
        <v>0</v>
      </c>
      <c r="B1" s="112"/>
      <c r="C1" s="112"/>
      <c r="D1" s="112"/>
    </row>
    <row r="2" spans="1:8" x14ac:dyDescent="0.5">
      <c r="A2" s="112" t="s">
        <v>1</v>
      </c>
      <c r="B2" s="112"/>
      <c r="C2" s="113"/>
      <c r="D2" s="113"/>
    </row>
    <row r="3" spans="1:8" s="23" customFormat="1" ht="20.25" x14ac:dyDescent="0.35">
      <c r="A3" s="22" t="s">
        <v>2</v>
      </c>
      <c r="B3" s="22" t="s">
        <v>3</v>
      </c>
      <c r="C3" s="22" t="s">
        <v>4</v>
      </c>
      <c r="D3" s="22" t="s">
        <v>5</v>
      </c>
      <c r="G3" s="115"/>
    </row>
    <row r="4" spans="1:8" x14ac:dyDescent="0.5">
      <c r="A4" s="13">
        <v>1</v>
      </c>
      <c r="B4" s="15" t="s">
        <v>6</v>
      </c>
      <c r="C4" s="25" t="s">
        <v>7</v>
      </c>
      <c r="D4" s="25" t="s">
        <v>7</v>
      </c>
      <c r="G4" s="115"/>
      <c r="H4" s="24" t="s">
        <v>7</v>
      </c>
    </row>
    <row r="5" spans="1:8" x14ac:dyDescent="0.5">
      <c r="A5" s="13">
        <v>1.1000000000000001</v>
      </c>
      <c r="B5" s="15" t="s">
        <v>8</v>
      </c>
      <c r="C5" s="25" t="s">
        <v>7</v>
      </c>
      <c r="D5" s="25" t="s">
        <v>7</v>
      </c>
      <c r="G5" s="115"/>
      <c r="H5" s="24" t="s">
        <v>9</v>
      </c>
    </row>
    <row r="6" spans="1:8" x14ac:dyDescent="0.5">
      <c r="A6" s="13">
        <v>1.2</v>
      </c>
      <c r="B6" s="15" t="s">
        <v>10</v>
      </c>
      <c r="C6" s="25" t="s">
        <v>7</v>
      </c>
      <c r="D6" s="25" t="s">
        <v>7</v>
      </c>
      <c r="G6" s="115"/>
    </row>
    <row r="7" spans="1:8" x14ac:dyDescent="0.5">
      <c r="A7" s="13">
        <v>1.3</v>
      </c>
      <c r="B7" s="15" t="s">
        <v>11</v>
      </c>
      <c r="C7" s="25" t="s">
        <v>7</v>
      </c>
      <c r="D7" s="25" t="s">
        <v>7</v>
      </c>
      <c r="G7" s="115"/>
    </row>
    <row r="8" spans="1:8" x14ac:dyDescent="0.5">
      <c r="A8" s="13">
        <v>1.4</v>
      </c>
      <c r="B8" s="15" t="s">
        <v>12</v>
      </c>
      <c r="C8" s="25" t="s">
        <v>7</v>
      </c>
      <c r="D8" s="25" t="s">
        <v>7</v>
      </c>
      <c r="G8" s="115"/>
    </row>
    <row r="9" spans="1:8" x14ac:dyDescent="0.5">
      <c r="A9" s="13">
        <v>1.5</v>
      </c>
      <c r="B9" s="16" t="s">
        <v>13</v>
      </c>
      <c r="C9" s="25" t="s">
        <v>7</v>
      </c>
      <c r="D9" s="25" t="s">
        <v>7</v>
      </c>
      <c r="G9" s="115"/>
    </row>
    <row r="10" spans="1:8" x14ac:dyDescent="0.5">
      <c r="A10" s="13">
        <v>1.6</v>
      </c>
      <c r="B10" s="15" t="s">
        <v>14</v>
      </c>
      <c r="C10" s="25" t="s">
        <v>7</v>
      </c>
      <c r="D10" s="25" t="s">
        <v>7</v>
      </c>
      <c r="G10" s="115"/>
    </row>
    <row r="11" spans="1:8" x14ac:dyDescent="0.5">
      <c r="A11" s="13">
        <v>1.7</v>
      </c>
      <c r="B11" s="15" t="s">
        <v>15</v>
      </c>
      <c r="C11" s="25" t="s">
        <v>7</v>
      </c>
      <c r="D11" s="25" t="s">
        <v>7</v>
      </c>
      <c r="G11" s="115"/>
    </row>
    <row r="12" spans="1:8" x14ac:dyDescent="0.5">
      <c r="A12" s="13">
        <v>1.8</v>
      </c>
      <c r="B12" s="15" t="s">
        <v>16</v>
      </c>
      <c r="C12" s="25" t="s">
        <v>7</v>
      </c>
      <c r="D12" s="25" t="s">
        <v>7</v>
      </c>
      <c r="G12" s="115"/>
    </row>
    <row r="13" spans="1:8" x14ac:dyDescent="0.5">
      <c r="A13" s="13">
        <v>1.9</v>
      </c>
      <c r="B13" s="15" t="s">
        <v>17</v>
      </c>
      <c r="C13" s="25" t="s">
        <v>7</v>
      </c>
      <c r="D13" s="25" t="s">
        <v>7</v>
      </c>
      <c r="G13" s="115"/>
    </row>
    <row r="14" spans="1:8" x14ac:dyDescent="0.5">
      <c r="A14" s="17">
        <v>1.1000000000000001</v>
      </c>
      <c r="B14" s="15" t="s">
        <v>18</v>
      </c>
      <c r="C14" s="25" t="s">
        <v>7</v>
      </c>
      <c r="D14" s="25" t="s">
        <v>7</v>
      </c>
      <c r="G14" s="115"/>
    </row>
    <row r="15" spans="1:8" x14ac:dyDescent="0.5">
      <c r="A15" s="13">
        <f>A4+1</f>
        <v>2</v>
      </c>
      <c r="B15" s="18" t="s">
        <v>19</v>
      </c>
      <c r="C15" s="25" t="s">
        <v>7</v>
      </c>
      <c r="D15" s="25" t="s">
        <v>7</v>
      </c>
      <c r="G15" s="115"/>
    </row>
    <row r="16" spans="1:8" x14ac:dyDescent="0.5">
      <c r="A16" s="13">
        <f t="shared" ref="A16:A24" si="0">A15+1</f>
        <v>3</v>
      </c>
      <c r="B16" s="18" t="s">
        <v>20</v>
      </c>
      <c r="C16" s="25" t="s">
        <v>7</v>
      </c>
      <c r="D16" s="25" t="s">
        <v>7</v>
      </c>
      <c r="G16" s="115"/>
    </row>
    <row r="17" spans="1:7" x14ac:dyDescent="0.5">
      <c r="A17" s="13">
        <f t="shared" si="0"/>
        <v>4</v>
      </c>
      <c r="B17" s="18" t="s">
        <v>21</v>
      </c>
      <c r="C17" s="25" t="s">
        <v>7</v>
      </c>
      <c r="D17" s="25" t="s">
        <v>7</v>
      </c>
      <c r="G17" s="115"/>
    </row>
    <row r="18" spans="1:7" x14ac:dyDescent="0.5">
      <c r="A18" s="13">
        <v>4.0999999999999996</v>
      </c>
      <c r="B18" s="15" t="s">
        <v>22</v>
      </c>
      <c r="C18" s="25" t="s">
        <v>7</v>
      </c>
      <c r="D18" s="25" t="s">
        <v>7</v>
      </c>
      <c r="G18" s="115"/>
    </row>
    <row r="19" spans="1:7" x14ac:dyDescent="0.5">
      <c r="A19" s="13">
        <f>A17+1</f>
        <v>5</v>
      </c>
      <c r="B19" s="18" t="s">
        <v>23</v>
      </c>
      <c r="C19" s="25" t="s">
        <v>7</v>
      </c>
      <c r="D19" s="25" t="s">
        <v>7</v>
      </c>
      <c r="G19" s="115"/>
    </row>
    <row r="20" spans="1:7" x14ac:dyDescent="0.5">
      <c r="A20" s="13">
        <f t="shared" si="0"/>
        <v>6</v>
      </c>
      <c r="B20" s="18" t="s">
        <v>24</v>
      </c>
      <c r="C20" s="25" t="s">
        <v>7</v>
      </c>
      <c r="D20" s="25" t="s">
        <v>7</v>
      </c>
      <c r="G20" s="115"/>
    </row>
    <row r="21" spans="1:7" x14ac:dyDescent="0.5">
      <c r="A21" s="13">
        <f t="shared" si="0"/>
        <v>7</v>
      </c>
      <c r="B21" s="18" t="s">
        <v>25</v>
      </c>
      <c r="C21" s="25" t="s">
        <v>9</v>
      </c>
      <c r="D21" s="25" t="s">
        <v>9</v>
      </c>
      <c r="G21" s="115"/>
    </row>
    <row r="22" spans="1:7" x14ac:dyDescent="0.5">
      <c r="A22" s="13">
        <f t="shared" si="0"/>
        <v>8</v>
      </c>
      <c r="B22" s="18" t="s">
        <v>26</v>
      </c>
      <c r="C22" s="25" t="s">
        <v>7</v>
      </c>
      <c r="D22" s="25" t="s">
        <v>7</v>
      </c>
      <c r="G22" s="115"/>
    </row>
    <row r="23" spans="1:7" x14ac:dyDescent="0.5">
      <c r="A23" s="13">
        <f t="shared" si="0"/>
        <v>9</v>
      </c>
      <c r="B23" s="18" t="s">
        <v>27</v>
      </c>
      <c r="C23" s="25" t="s">
        <v>7</v>
      </c>
      <c r="D23" s="25" t="s">
        <v>7</v>
      </c>
      <c r="G23" s="115"/>
    </row>
    <row r="24" spans="1:7" x14ac:dyDescent="0.5">
      <c r="A24" s="13">
        <f t="shared" si="0"/>
        <v>10</v>
      </c>
      <c r="B24" s="15" t="s">
        <v>28</v>
      </c>
      <c r="C24" s="25" t="s">
        <v>7</v>
      </c>
      <c r="D24" s="25" t="s">
        <v>7</v>
      </c>
      <c r="G24" s="115"/>
    </row>
    <row r="25" spans="1:7" x14ac:dyDescent="0.5">
      <c r="A25" s="13">
        <f>A24+1</f>
        <v>11</v>
      </c>
      <c r="B25" s="15" t="s">
        <v>29</v>
      </c>
      <c r="C25" s="25" t="s">
        <v>7</v>
      </c>
      <c r="D25" s="25" t="s">
        <v>7</v>
      </c>
      <c r="G25" s="115"/>
    </row>
    <row r="26" spans="1:7" x14ac:dyDescent="0.5">
      <c r="G26" s="115"/>
    </row>
    <row r="27" spans="1:7" x14ac:dyDescent="0.5">
      <c r="A27" s="112" t="s">
        <v>30</v>
      </c>
      <c r="B27" s="112"/>
      <c r="G27" s="115"/>
    </row>
    <row r="28" spans="1:7" s="23" customFormat="1" ht="20.25" x14ac:dyDescent="0.35">
      <c r="A28" s="22" t="s">
        <v>2</v>
      </c>
      <c r="B28" s="22" t="s">
        <v>3</v>
      </c>
      <c r="C28" s="22" t="s">
        <v>4</v>
      </c>
      <c r="D28" s="22" t="s">
        <v>5</v>
      </c>
      <c r="G28" s="115"/>
    </row>
    <row r="29" spans="1:7" x14ac:dyDescent="0.5">
      <c r="A29" s="13">
        <v>1</v>
      </c>
      <c r="B29" s="18" t="s">
        <v>31</v>
      </c>
      <c r="C29" s="25" t="s">
        <v>7</v>
      </c>
      <c r="D29" s="25" t="s">
        <v>7</v>
      </c>
      <c r="G29" s="115"/>
    </row>
    <row r="30" spans="1:7" x14ac:dyDescent="0.5">
      <c r="A30" s="13">
        <f>A29+1</f>
        <v>2</v>
      </c>
      <c r="B30" s="18" t="s">
        <v>32</v>
      </c>
      <c r="C30" s="25" t="s">
        <v>7</v>
      </c>
      <c r="D30" s="25" t="s">
        <v>7</v>
      </c>
      <c r="G30" s="115"/>
    </row>
    <row r="31" spans="1:7" x14ac:dyDescent="0.5">
      <c r="A31" s="13">
        <f t="shared" ref="A31:A36" si="1">A30+1</f>
        <v>3</v>
      </c>
      <c r="B31" s="18" t="s">
        <v>33</v>
      </c>
      <c r="C31" s="25" t="s">
        <v>7</v>
      </c>
      <c r="D31" s="25" t="s">
        <v>7</v>
      </c>
      <c r="G31" s="115"/>
    </row>
    <row r="32" spans="1:7" ht="43.5" x14ac:dyDescent="0.5">
      <c r="A32" s="13">
        <f t="shared" si="1"/>
        <v>4</v>
      </c>
      <c r="B32" s="19" t="s">
        <v>34</v>
      </c>
      <c r="C32" s="25" t="s">
        <v>9</v>
      </c>
      <c r="D32" s="25" t="s">
        <v>9</v>
      </c>
      <c r="G32" s="115"/>
    </row>
    <row r="33" spans="1:7" x14ac:dyDescent="0.5">
      <c r="A33" s="13">
        <f t="shared" si="1"/>
        <v>5</v>
      </c>
      <c r="B33" s="19" t="s">
        <v>35</v>
      </c>
      <c r="C33" s="25" t="s">
        <v>9</v>
      </c>
      <c r="D33" s="25" t="s">
        <v>9</v>
      </c>
      <c r="G33" s="115"/>
    </row>
    <row r="34" spans="1:7" x14ac:dyDescent="0.5">
      <c r="A34" s="13">
        <f t="shared" si="1"/>
        <v>6</v>
      </c>
      <c r="B34" s="18" t="s">
        <v>36</v>
      </c>
      <c r="C34" s="25" t="s">
        <v>7</v>
      </c>
      <c r="D34" s="25" t="s">
        <v>7</v>
      </c>
      <c r="G34" s="115"/>
    </row>
    <row r="35" spans="1:7" x14ac:dyDescent="0.5">
      <c r="A35" s="13">
        <f t="shared" si="1"/>
        <v>7</v>
      </c>
      <c r="B35" s="18" t="s">
        <v>37</v>
      </c>
      <c r="C35" s="25" t="s">
        <v>7</v>
      </c>
      <c r="D35" s="25" t="s">
        <v>7</v>
      </c>
      <c r="G35" s="115"/>
    </row>
    <row r="36" spans="1:7" x14ac:dyDescent="0.5">
      <c r="A36" s="13">
        <f t="shared" si="1"/>
        <v>8</v>
      </c>
      <c r="B36" s="18" t="s">
        <v>38</v>
      </c>
      <c r="C36" s="25" t="s">
        <v>7</v>
      </c>
      <c r="D36" s="25" t="s">
        <v>7</v>
      </c>
      <c r="G36" s="115"/>
    </row>
    <row r="38" spans="1:7" x14ac:dyDescent="0.5">
      <c r="A38" s="112" t="s">
        <v>39</v>
      </c>
      <c r="B38" s="112"/>
    </row>
    <row r="39" spans="1:7" s="23" customFormat="1" ht="20.25" x14ac:dyDescent="0.35">
      <c r="A39" s="22" t="s">
        <v>2</v>
      </c>
      <c r="B39" s="22" t="s">
        <v>3</v>
      </c>
      <c r="C39" s="22" t="s">
        <v>4</v>
      </c>
      <c r="D39" s="22" t="s">
        <v>5</v>
      </c>
      <c r="G39" s="114"/>
    </row>
    <row r="40" spans="1:7" x14ac:dyDescent="0.5">
      <c r="A40" s="13">
        <v>1</v>
      </c>
      <c r="B40" s="18" t="s">
        <v>40</v>
      </c>
      <c r="C40" s="25" t="s">
        <v>7</v>
      </c>
      <c r="D40" s="25" t="s">
        <v>9</v>
      </c>
      <c r="G40" s="114"/>
    </row>
    <row r="41" spans="1:7" ht="153.75" x14ac:dyDescent="0.5">
      <c r="A41" s="13">
        <f>A40+1</f>
        <v>2</v>
      </c>
      <c r="B41" s="20" t="s">
        <v>41</v>
      </c>
      <c r="C41" s="25" t="s">
        <v>9</v>
      </c>
      <c r="D41" s="25" t="s">
        <v>9</v>
      </c>
      <c r="G41" s="114"/>
    </row>
    <row r="42" spans="1:7" x14ac:dyDescent="0.5">
      <c r="A42" s="13">
        <v>3</v>
      </c>
      <c r="B42" s="18" t="s">
        <v>42</v>
      </c>
      <c r="C42" s="25" t="s">
        <v>7</v>
      </c>
      <c r="D42" s="25" t="s">
        <v>9</v>
      </c>
      <c r="G42" s="114"/>
    </row>
    <row r="43" spans="1:7" x14ac:dyDescent="0.5">
      <c r="A43" s="13">
        <f t="shared" ref="A43:A69" si="2">A42+1</f>
        <v>4</v>
      </c>
      <c r="B43" s="18" t="s">
        <v>43</v>
      </c>
      <c r="C43" s="25" t="s">
        <v>9</v>
      </c>
      <c r="D43" s="25" t="s">
        <v>9</v>
      </c>
      <c r="G43" s="114"/>
    </row>
    <row r="44" spans="1:7" x14ac:dyDescent="0.5">
      <c r="A44" s="13">
        <f t="shared" si="2"/>
        <v>5</v>
      </c>
      <c r="B44" s="18" t="s">
        <v>44</v>
      </c>
      <c r="C44" s="25" t="s">
        <v>9</v>
      </c>
      <c r="D44" s="25" t="s">
        <v>9</v>
      </c>
      <c r="G44" s="114"/>
    </row>
    <row r="45" spans="1:7" x14ac:dyDescent="0.5">
      <c r="A45" s="26">
        <v>5.0999999999999996</v>
      </c>
      <c r="B45" s="27" t="s">
        <v>45</v>
      </c>
      <c r="C45" s="25" t="s">
        <v>7</v>
      </c>
      <c r="D45" s="25" t="s">
        <v>9</v>
      </c>
      <c r="G45" s="114"/>
    </row>
    <row r="46" spans="1:7" x14ac:dyDescent="0.5">
      <c r="A46" s="26">
        <v>5.2</v>
      </c>
      <c r="B46" s="27" t="s">
        <v>46</v>
      </c>
      <c r="C46" s="25" t="s">
        <v>9</v>
      </c>
      <c r="D46" s="25" t="s">
        <v>9</v>
      </c>
      <c r="G46" s="114"/>
    </row>
    <row r="47" spans="1:7" x14ac:dyDescent="0.5">
      <c r="A47" s="26">
        <v>5.3</v>
      </c>
      <c r="B47" s="27" t="s">
        <v>47</v>
      </c>
      <c r="C47" s="25" t="s">
        <v>7</v>
      </c>
      <c r="D47" s="25" t="s">
        <v>9</v>
      </c>
      <c r="G47" s="114"/>
    </row>
    <row r="48" spans="1:7" x14ac:dyDescent="0.5">
      <c r="A48" s="26">
        <v>5.4</v>
      </c>
      <c r="B48" s="27" t="s">
        <v>48</v>
      </c>
      <c r="C48" s="25" t="s">
        <v>7</v>
      </c>
      <c r="D48" s="25" t="s">
        <v>9</v>
      </c>
      <c r="G48" s="114"/>
    </row>
    <row r="49" spans="1:7" x14ac:dyDescent="0.5">
      <c r="A49" s="26">
        <v>5.5</v>
      </c>
      <c r="B49" s="27" t="s">
        <v>49</v>
      </c>
      <c r="C49" s="25" t="s">
        <v>7</v>
      </c>
      <c r="D49" s="25" t="s">
        <v>9</v>
      </c>
      <c r="G49" s="114"/>
    </row>
    <row r="50" spans="1:7" ht="43.5" x14ac:dyDescent="0.5">
      <c r="A50" s="13">
        <f>A44+1</f>
        <v>6</v>
      </c>
      <c r="B50" s="19" t="s">
        <v>50</v>
      </c>
      <c r="C50" s="25" t="s">
        <v>9</v>
      </c>
      <c r="D50" s="25" t="s">
        <v>9</v>
      </c>
      <c r="G50" s="114"/>
    </row>
    <row r="51" spans="1:7" x14ac:dyDescent="0.5">
      <c r="A51" s="13">
        <f t="shared" si="2"/>
        <v>7</v>
      </c>
      <c r="B51" s="18" t="s">
        <v>51</v>
      </c>
      <c r="C51" s="25" t="s">
        <v>9</v>
      </c>
      <c r="D51" s="25" t="s">
        <v>9</v>
      </c>
      <c r="G51" s="114"/>
    </row>
    <row r="52" spans="1:7" ht="65.25" x14ac:dyDescent="0.5">
      <c r="A52" s="13">
        <f t="shared" si="2"/>
        <v>8</v>
      </c>
      <c r="B52" s="19" t="s">
        <v>52</v>
      </c>
      <c r="C52" s="25" t="s">
        <v>9</v>
      </c>
      <c r="D52" s="25" t="s">
        <v>9</v>
      </c>
      <c r="G52" s="114"/>
    </row>
    <row r="53" spans="1:7" x14ac:dyDescent="0.5">
      <c r="A53" s="13">
        <f t="shared" si="2"/>
        <v>9</v>
      </c>
      <c r="B53" s="18" t="s">
        <v>53</v>
      </c>
      <c r="C53" s="25" t="s">
        <v>9</v>
      </c>
      <c r="D53" s="25" t="s">
        <v>9</v>
      </c>
      <c r="G53" s="114"/>
    </row>
    <row r="54" spans="1:7" x14ac:dyDescent="0.5">
      <c r="A54" s="13">
        <f t="shared" si="2"/>
        <v>10</v>
      </c>
      <c r="B54" s="18" t="s">
        <v>54</v>
      </c>
      <c r="C54" s="25" t="s">
        <v>9</v>
      </c>
      <c r="D54" s="25" t="s">
        <v>9</v>
      </c>
      <c r="G54" s="114"/>
    </row>
    <row r="55" spans="1:7" x14ac:dyDescent="0.5">
      <c r="A55" s="13">
        <f t="shared" si="2"/>
        <v>11</v>
      </c>
      <c r="B55" s="18" t="s">
        <v>55</v>
      </c>
      <c r="C55" s="25" t="s">
        <v>9</v>
      </c>
      <c r="D55" s="25" t="s">
        <v>9</v>
      </c>
      <c r="G55" s="114"/>
    </row>
    <row r="56" spans="1:7" x14ac:dyDescent="0.5">
      <c r="A56" s="13">
        <f t="shared" si="2"/>
        <v>12</v>
      </c>
      <c r="B56" s="18" t="s">
        <v>56</v>
      </c>
      <c r="C56" s="25" t="s">
        <v>9</v>
      </c>
      <c r="D56" s="25" t="s">
        <v>9</v>
      </c>
      <c r="G56" s="114"/>
    </row>
    <row r="57" spans="1:7" x14ac:dyDescent="0.5">
      <c r="A57" s="13">
        <f t="shared" si="2"/>
        <v>13</v>
      </c>
      <c r="B57" s="18" t="s">
        <v>57</v>
      </c>
      <c r="C57" s="25" t="s">
        <v>9</v>
      </c>
      <c r="D57" s="25" t="s">
        <v>9</v>
      </c>
      <c r="G57" s="114"/>
    </row>
    <row r="58" spans="1:7" x14ac:dyDescent="0.5">
      <c r="A58" s="13">
        <f t="shared" si="2"/>
        <v>14</v>
      </c>
      <c r="B58" s="18" t="s">
        <v>58</v>
      </c>
      <c r="C58" s="25" t="s">
        <v>9</v>
      </c>
      <c r="D58" s="25" t="s">
        <v>9</v>
      </c>
      <c r="G58" s="114"/>
    </row>
    <row r="59" spans="1:7" x14ac:dyDescent="0.5">
      <c r="A59" s="13">
        <f t="shared" si="2"/>
        <v>15</v>
      </c>
      <c r="B59" s="18" t="s">
        <v>59</v>
      </c>
      <c r="C59" s="25" t="s">
        <v>9</v>
      </c>
      <c r="D59" s="25" t="s">
        <v>9</v>
      </c>
      <c r="G59" s="114"/>
    </row>
    <row r="60" spans="1:7" x14ac:dyDescent="0.5">
      <c r="A60" s="13">
        <f t="shared" si="2"/>
        <v>16</v>
      </c>
      <c r="B60" s="18" t="s">
        <v>60</v>
      </c>
      <c r="C60" s="25" t="s">
        <v>9</v>
      </c>
      <c r="D60" s="25" t="s">
        <v>9</v>
      </c>
      <c r="G60" s="114"/>
    </row>
    <row r="61" spans="1:7" x14ac:dyDescent="0.5">
      <c r="A61" s="13">
        <f t="shared" si="2"/>
        <v>17</v>
      </c>
      <c r="B61" s="18" t="s">
        <v>61</v>
      </c>
      <c r="C61" s="25" t="s">
        <v>9</v>
      </c>
      <c r="D61" s="25" t="s">
        <v>9</v>
      </c>
      <c r="G61" s="114"/>
    </row>
    <row r="62" spans="1:7" x14ac:dyDescent="0.5">
      <c r="A62" s="13">
        <f t="shared" si="2"/>
        <v>18</v>
      </c>
      <c r="B62" s="18" t="s">
        <v>62</v>
      </c>
      <c r="C62" s="25" t="s">
        <v>9</v>
      </c>
      <c r="D62" s="25" t="s">
        <v>9</v>
      </c>
      <c r="G62" s="114"/>
    </row>
    <row r="63" spans="1:7" x14ac:dyDescent="0.5">
      <c r="A63" s="13">
        <f t="shared" si="2"/>
        <v>19</v>
      </c>
      <c r="B63" s="18" t="s">
        <v>63</v>
      </c>
      <c r="C63" s="25" t="s">
        <v>9</v>
      </c>
      <c r="D63" s="25" t="s">
        <v>9</v>
      </c>
      <c r="G63" s="114"/>
    </row>
    <row r="64" spans="1:7" x14ac:dyDescent="0.5">
      <c r="A64" s="13">
        <f t="shared" si="2"/>
        <v>20</v>
      </c>
      <c r="B64" s="18" t="s">
        <v>64</v>
      </c>
      <c r="C64" s="25" t="s">
        <v>9</v>
      </c>
      <c r="D64" s="25" t="s">
        <v>9</v>
      </c>
      <c r="G64" s="114"/>
    </row>
    <row r="65" spans="1:7" x14ac:dyDescent="0.5">
      <c r="A65" s="13">
        <f t="shared" si="2"/>
        <v>21</v>
      </c>
      <c r="B65" s="18" t="s">
        <v>65</v>
      </c>
      <c r="C65" s="25" t="s">
        <v>9</v>
      </c>
      <c r="D65" s="25" t="s">
        <v>9</v>
      </c>
      <c r="G65" s="114"/>
    </row>
    <row r="66" spans="1:7" x14ac:dyDescent="0.5">
      <c r="A66" s="13">
        <f t="shared" si="2"/>
        <v>22</v>
      </c>
      <c r="B66" s="19" t="s">
        <v>66</v>
      </c>
      <c r="C66" s="25" t="s">
        <v>9</v>
      </c>
      <c r="D66" s="25" t="s">
        <v>9</v>
      </c>
      <c r="G66" s="114"/>
    </row>
    <row r="67" spans="1:7" x14ac:dyDescent="0.5">
      <c r="A67" s="13">
        <f t="shared" si="2"/>
        <v>23</v>
      </c>
      <c r="B67" s="18" t="s">
        <v>67</v>
      </c>
      <c r="C67" s="25" t="s">
        <v>9</v>
      </c>
      <c r="D67" s="25" t="s">
        <v>9</v>
      </c>
      <c r="G67" s="114"/>
    </row>
    <row r="68" spans="1:7" x14ac:dyDescent="0.5">
      <c r="A68" s="13">
        <f t="shared" si="2"/>
        <v>24</v>
      </c>
      <c r="B68" s="18" t="s">
        <v>68</v>
      </c>
      <c r="C68" s="25" t="s">
        <v>9</v>
      </c>
      <c r="D68" s="25" t="s">
        <v>9</v>
      </c>
      <c r="G68" s="114"/>
    </row>
    <row r="69" spans="1:7" x14ac:dyDescent="0.5">
      <c r="A69" s="13">
        <f t="shared" si="2"/>
        <v>25</v>
      </c>
      <c r="B69" s="18" t="s">
        <v>69</v>
      </c>
      <c r="C69" s="25" t="s">
        <v>9</v>
      </c>
      <c r="D69" s="25" t="s">
        <v>9</v>
      </c>
      <c r="G69" s="114"/>
    </row>
    <row r="71" spans="1:7" x14ac:dyDescent="0.5">
      <c r="A71" s="112" t="s">
        <v>70</v>
      </c>
      <c r="B71" s="112"/>
      <c r="C71" s="113"/>
      <c r="D71" s="113"/>
    </row>
    <row r="72" spans="1:7" s="23" customFormat="1" ht="20.25" x14ac:dyDescent="0.35">
      <c r="A72" s="22" t="s">
        <v>2</v>
      </c>
      <c r="B72" s="22" t="s">
        <v>3</v>
      </c>
      <c r="C72" s="22" t="s">
        <v>4</v>
      </c>
      <c r="D72" s="22" t="s">
        <v>5</v>
      </c>
      <c r="G72" s="111"/>
    </row>
    <row r="73" spans="1:7" x14ac:dyDescent="0.5">
      <c r="A73" s="13">
        <v>1</v>
      </c>
      <c r="B73" s="18" t="s">
        <v>71</v>
      </c>
      <c r="C73" s="25" t="s">
        <v>9</v>
      </c>
      <c r="D73" s="25" t="s">
        <v>9</v>
      </c>
      <c r="G73" s="111"/>
    </row>
    <row r="74" spans="1:7" x14ac:dyDescent="0.5">
      <c r="A74" s="13">
        <v>2</v>
      </c>
      <c r="B74" s="18" t="s">
        <v>72</v>
      </c>
      <c r="C74" s="25" t="s">
        <v>9</v>
      </c>
      <c r="D74" s="25" t="s">
        <v>9</v>
      </c>
      <c r="G74" s="111"/>
    </row>
    <row r="75" spans="1:7" x14ac:dyDescent="0.5">
      <c r="A75" s="13">
        <v>3</v>
      </c>
      <c r="B75" s="21" t="s">
        <v>73</v>
      </c>
      <c r="C75" s="25" t="s">
        <v>9</v>
      </c>
      <c r="D75" s="25" t="s">
        <v>9</v>
      </c>
      <c r="G75" s="111"/>
    </row>
    <row r="76" spans="1:7" x14ac:dyDescent="0.5">
      <c r="A76" s="13">
        <f>A75+1</f>
        <v>4</v>
      </c>
      <c r="B76" s="18" t="s">
        <v>74</v>
      </c>
      <c r="C76" s="25" t="s">
        <v>9</v>
      </c>
      <c r="D76" s="25" t="s">
        <v>9</v>
      </c>
      <c r="G76" s="111"/>
    </row>
    <row r="77" spans="1:7" x14ac:dyDescent="0.5">
      <c r="A77" s="13">
        <f>A76+1</f>
        <v>5</v>
      </c>
      <c r="B77" s="18" t="s">
        <v>75</v>
      </c>
      <c r="C77" s="25" t="s">
        <v>9</v>
      </c>
      <c r="D77" s="25" t="s">
        <v>9</v>
      </c>
      <c r="G77" s="111"/>
    </row>
    <row r="78" spans="1:7" x14ac:dyDescent="0.5">
      <c r="A78" s="13">
        <f>A77+1</f>
        <v>6</v>
      </c>
      <c r="B78" s="18" t="s">
        <v>76</v>
      </c>
      <c r="C78" s="25" t="s">
        <v>9</v>
      </c>
      <c r="D78" s="25" t="s">
        <v>9</v>
      </c>
      <c r="G78" s="111"/>
    </row>
    <row r="79" spans="1:7" x14ac:dyDescent="0.5">
      <c r="A79" s="13">
        <v>7</v>
      </c>
      <c r="B79" s="18" t="s">
        <v>77</v>
      </c>
      <c r="C79" s="25" t="s">
        <v>9</v>
      </c>
      <c r="D79" s="25" t="s">
        <v>9</v>
      </c>
      <c r="G79" s="111"/>
    </row>
    <row r="80" spans="1:7" x14ac:dyDescent="0.5">
      <c r="G80" s="111"/>
    </row>
    <row r="81" spans="1:7" x14ac:dyDescent="0.5">
      <c r="A81" s="112" t="s">
        <v>78</v>
      </c>
      <c r="B81" s="112"/>
      <c r="C81" s="113"/>
      <c r="D81" s="113"/>
      <c r="G81" s="111"/>
    </row>
    <row r="82" spans="1:7" x14ac:dyDescent="0.5">
      <c r="A82" s="22" t="s">
        <v>2</v>
      </c>
      <c r="B82" s="22" t="s">
        <v>3</v>
      </c>
      <c r="C82" s="22" t="s">
        <v>4</v>
      </c>
      <c r="D82" s="22" t="s">
        <v>5</v>
      </c>
      <c r="G82" s="111"/>
    </row>
    <row r="83" spans="1:7" x14ac:dyDescent="0.5">
      <c r="A83" s="13">
        <v>1</v>
      </c>
      <c r="B83" s="18" t="s">
        <v>79</v>
      </c>
      <c r="C83" s="25" t="s">
        <v>9</v>
      </c>
      <c r="D83" s="25" t="s">
        <v>9</v>
      </c>
      <c r="G83" s="111"/>
    </row>
    <row r="84" spans="1:7" ht="65.25" x14ac:dyDescent="0.5">
      <c r="A84" s="13">
        <v>2</v>
      </c>
      <c r="B84" s="19" t="s">
        <v>80</v>
      </c>
      <c r="C84" s="25" t="s">
        <v>9</v>
      </c>
      <c r="D84" s="25" t="s">
        <v>9</v>
      </c>
      <c r="G84" s="111"/>
    </row>
    <row r="85" spans="1:7" x14ac:dyDescent="0.5">
      <c r="A85" s="13">
        <v>3</v>
      </c>
      <c r="B85" s="18" t="s">
        <v>81</v>
      </c>
      <c r="C85" s="25" t="s">
        <v>9</v>
      </c>
      <c r="D85" s="25" t="s">
        <v>9</v>
      </c>
      <c r="G85" s="111"/>
    </row>
  </sheetData>
  <protectedRanges>
    <protectedRange sqref="C1:D3 C26:D28 C37:D39 C70:D72 C80:D82 C86:D1048576" name="Range1"/>
  </protectedRanges>
  <mergeCells count="12">
    <mergeCell ref="A27:B27"/>
    <mergeCell ref="A38:B38"/>
    <mergeCell ref="G3:G36"/>
    <mergeCell ref="A1:D1"/>
    <mergeCell ref="A2:B2"/>
    <mergeCell ref="C2:D2"/>
    <mergeCell ref="G72:G85"/>
    <mergeCell ref="A81:B81"/>
    <mergeCell ref="C81:D81"/>
    <mergeCell ref="G39:G69"/>
    <mergeCell ref="A71:B71"/>
    <mergeCell ref="C71:D71"/>
  </mergeCells>
  <pageMargins left="0.25" right="0.25" top="0.75" bottom="0.75" header="0.3" footer="0.3"/>
  <pageSetup paperSize="9"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8A33-E591-449C-93FD-0614235C35CB}">
  <dimension ref="B7:F15"/>
  <sheetViews>
    <sheetView workbookViewId="0">
      <selection activeCell="C14" sqref="C14"/>
    </sheetView>
  </sheetViews>
  <sheetFormatPr defaultRowHeight="16.5" x14ac:dyDescent="0.3"/>
  <cols>
    <col min="2" max="2" width="17.25" bestFit="1" customWidth="1"/>
    <col min="3" max="3" width="9.75" bestFit="1" customWidth="1"/>
    <col min="4" max="5" width="18.75" bestFit="1" customWidth="1"/>
    <col min="6" max="6" width="17" customWidth="1"/>
  </cols>
  <sheetData>
    <row r="7" spans="2:6" x14ac:dyDescent="0.3">
      <c r="E7" t="s">
        <v>86</v>
      </c>
      <c r="F7" t="s">
        <v>87</v>
      </c>
    </row>
    <row r="8" spans="2:6" x14ac:dyDescent="0.3">
      <c r="C8" t="s">
        <v>88</v>
      </c>
      <c r="D8" s="106">
        <v>1700000</v>
      </c>
      <c r="E8" s="103">
        <f>E9+E10</f>
        <v>1020000</v>
      </c>
      <c r="F8" s="103">
        <f>D8-E8</f>
        <v>680000</v>
      </c>
    </row>
    <row r="9" spans="2:6" x14ac:dyDescent="0.3">
      <c r="C9" t="s">
        <v>89</v>
      </c>
      <c r="D9" s="106">
        <f>D8*0.3</f>
        <v>510000</v>
      </c>
      <c r="E9" s="103">
        <f>D9</f>
        <v>510000</v>
      </c>
      <c r="F9" s="103">
        <f>D9-E9</f>
        <v>0</v>
      </c>
    </row>
    <row r="10" spans="2:6" x14ac:dyDescent="0.3">
      <c r="C10" t="s">
        <v>90</v>
      </c>
      <c r="D10" s="106">
        <f>D8-D9</f>
        <v>1190000</v>
      </c>
      <c r="E10" s="104">
        <f>E9</f>
        <v>510000</v>
      </c>
      <c r="F10" s="103">
        <f>D10-E10</f>
        <v>680000</v>
      </c>
    </row>
    <row r="13" spans="2:6" x14ac:dyDescent="0.3">
      <c r="C13" t="s">
        <v>91</v>
      </c>
      <c r="D13" t="s">
        <v>92</v>
      </c>
      <c r="E13" t="s">
        <v>86</v>
      </c>
      <c r="F13" t="s">
        <v>93</v>
      </c>
    </row>
    <row r="14" spans="2:6" x14ac:dyDescent="0.3">
      <c r="B14" t="s">
        <v>94</v>
      </c>
      <c r="C14" t="e">
        <f>#REF!+#REF!+#REF!+#REF!+#REF!+#REF!</f>
        <v>#REF!</v>
      </c>
      <c r="D14" s="105" t="e">
        <f>C14*D10</f>
        <v>#REF!</v>
      </c>
      <c r="E14" s="103">
        <f>E10</f>
        <v>510000</v>
      </c>
      <c r="F14" s="107" t="e">
        <f>E14-D14</f>
        <v>#REF!</v>
      </c>
    </row>
    <row r="15" spans="2:6" x14ac:dyDescent="0.3">
      <c r="B15" t="s">
        <v>95</v>
      </c>
      <c r="C15" t="e">
        <f>#REF!+#REF!+#REF!+#REF!+#REF!+#REF!</f>
        <v>#REF!</v>
      </c>
      <c r="D15" s="106" t="e">
        <f>C15*D8</f>
        <v>#REF!</v>
      </c>
      <c r="E15" s="103">
        <f>E9+E10</f>
        <v>1020000</v>
      </c>
      <c r="F15" s="107" t="e">
        <f>E15-D15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2AD-A7E0-409F-8751-9655888413A6}">
  <dimension ref="A1:H88"/>
  <sheetViews>
    <sheetView tabSelected="1" workbookViewId="0">
      <selection activeCell="C7" sqref="C7"/>
    </sheetView>
  </sheetViews>
  <sheetFormatPr defaultRowHeight="16.5" x14ac:dyDescent="0.3"/>
  <cols>
    <col min="1" max="1" width="19.375" style="172" bestFit="1" customWidth="1"/>
    <col min="2" max="2" width="15.125" style="172" bestFit="1" customWidth="1"/>
    <col min="3" max="3" width="40.625" style="172" customWidth="1"/>
    <col min="4" max="4" width="9" style="172"/>
    <col min="5" max="5" width="17.875" style="172" bestFit="1" customWidth="1"/>
    <col min="6" max="6" width="9" style="172"/>
    <col min="8" max="8" width="42.25" style="172" customWidth="1"/>
  </cols>
  <sheetData>
    <row r="1" spans="1:8" ht="23.25" x14ac:dyDescent="0.3">
      <c r="A1" s="170" t="s">
        <v>97</v>
      </c>
      <c r="B1" s="170" t="s">
        <v>98</v>
      </c>
      <c r="C1" s="171" t="s">
        <v>99</v>
      </c>
      <c r="D1" s="170" t="s">
        <v>100</v>
      </c>
      <c r="E1" s="170" t="s">
        <v>101</v>
      </c>
      <c r="F1" s="170" t="s">
        <v>102</v>
      </c>
      <c r="G1" s="170" t="s">
        <v>82</v>
      </c>
      <c r="H1" s="171" t="s">
        <v>103</v>
      </c>
    </row>
    <row r="2" spans="1:8" ht="93" x14ac:dyDescent="0.3">
      <c r="A2" s="173">
        <v>46163</v>
      </c>
      <c r="B2" s="174" t="s">
        <v>111</v>
      </c>
      <c r="C2" s="175" t="s">
        <v>112</v>
      </c>
      <c r="D2" s="174" t="s">
        <v>113</v>
      </c>
      <c r="E2" s="173">
        <v>46167</v>
      </c>
      <c r="F2" s="170" t="s">
        <v>104</v>
      </c>
      <c r="G2" s="167" t="s">
        <v>106</v>
      </c>
      <c r="H2" s="176"/>
    </row>
    <row r="3" spans="1:8" ht="69.75" x14ac:dyDescent="0.3">
      <c r="A3" s="173">
        <v>46163</v>
      </c>
      <c r="B3" s="174" t="s">
        <v>114</v>
      </c>
      <c r="C3" s="175" t="s">
        <v>115</v>
      </c>
      <c r="D3" s="174" t="s">
        <v>116</v>
      </c>
      <c r="E3" s="173">
        <v>46177</v>
      </c>
      <c r="F3" s="170" t="s">
        <v>104</v>
      </c>
      <c r="G3" s="167" t="s">
        <v>106</v>
      </c>
      <c r="H3" s="176"/>
    </row>
    <row r="4" spans="1:8" ht="23.25" x14ac:dyDescent="0.3">
      <c r="A4" s="177"/>
      <c r="B4" s="174"/>
      <c r="C4" s="175"/>
      <c r="D4" s="177"/>
      <c r="E4" s="170"/>
      <c r="F4" s="170"/>
      <c r="G4" s="166"/>
      <c r="H4" s="176"/>
    </row>
    <row r="5" spans="1:8" ht="69.75" x14ac:dyDescent="0.3">
      <c r="A5" s="173">
        <v>46163</v>
      </c>
      <c r="B5" s="174" t="s">
        <v>117</v>
      </c>
      <c r="C5" s="175" t="s">
        <v>118</v>
      </c>
      <c r="D5" s="177" t="s">
        <v>119</v>
      </c>
      <c r="E5" s="173">
        <v>46167</v>
      </c>
      <c r="F5" s="170" t="s">
        <v>104</v>
      </c>
      <c r="G5" s="167" t="s">
        <v>106</v>
      </c>
      <c r="H5" s="176"/>
    </row>
    <row r="6" spans="1:8" ht="46.5" x14ac:dyDescent="0.3">
      <c r="A6" s="173">
        <v>46163</v>
      </c>
      <c r="B6" s="174" t="s">
        <v>117</v>
      </c>
      <c r="C6" s="175" t="s">
        <v>120</v>
      </c>
      <c r="D6" s="177" t="s">
        <v>119</v>
      </c>
      <c r="E6" s="173">
        <v>46167</v>
      </c>
      <c r="F6" s="170" t="s">
        <v>107</v>
      </c>
      <c r="G6" s="167" t="s">
        <v>106</v>
      </c>
      <c r="H6" s="176"/>
    </row>
    <row r="7" spans="1:8" ht="69.75" x14ac:dyDescent="0.3">
      <c r="A7" s="173">
        <v>46163</v>
      </c>
      <c r="B7" s="174" t="s">
        <v>111</v>
      </c>
      <c r="C7" s="175" t="s">
        <v>121</v>
      </c>
      <c r="D7" s="174" t="s">
        <v>113</v>
      </c>
      <c r="E7" s="173">
        <v>46167</v>
      </c>
      <c r="F7" s="170" t="s">
        <v>104</v>
      </c>
      <c r="G7" s="167" t="s">
        <v>106</v>
      </c>
      <c r="H7" s="176"/>
    </row>
    <row r="8" spans="1:8" ht="46.5" x14ac:dyDescent="0.3">
      <c r="A8" s="173">
        <v>46163</v>
      </c>
      <c r="B8" s="174" t="s">
        <v>111</v>
      </c>
      <c r="C8" s="175" t="s">
        <v>122</v>
      </c>
      <c r="D8" s="177" t="s">
        <v>113</v>
      </c>
      <c r="E8" s="173">
        <v>46167</v>
      </c>
      <c r="F8" s="170" t="s">
        <v>104</v>
      </c>
      <c r="G8" s="167" t="s">
        <v>106</v>
      </c>
      <c r="H8" s="176"/>
    </row>
    <row r="9" spans="1:8" ht="69.75" x14ac:dyDescent="0.3">
      <c r="A9" s="173">
        <v>46163</v>
      </c>
      <c r="B9" s="174" t="s">
        <v>123</v>
      </c>
      <c r="C9" s="175" t="s">
        <v>124</v>
      </c>
      <c r="D9" s="177" t="s">
        <v>125</v>
      </c>
      <c r="E9" s="173">
        <v>46191</v>
      </c>
      <c r="F9" s="170" t="s">
        <v>107</v>
      </c>
      <c r="G9" s="168" t="s">
        <v>108</v>
      </c>
      <c r="H9" s="176" t="s">
        <v>126</v>
      </c>
    </row>
    <row r="10" spans="1:8" ht="46.5" x14ac:dyDescent="0.3">
      <c r="A10" s="173">
        <v>46163</v>
      </c>
      <c r="B10" s="174" t="s">
        <v>123</v>
      </c>
      <c r="C10" s="176" t="s">
        <v>127</v>
      </c>
      <c r="D10" s="177" t="s">
        <v>128</v>
      </c>
      <c r="E10" s="173">
        <v>46167</v>
      </c>
      <c r="F10" s="170" t="s">
        <v>104</v>
      </c>
      <c r="G10" s="167" t="s">
        <v>106</v>
      </c>
      <c r="H10" s="176"/>
    </row>
    <row r="11" spans="1:8" ht="69.75" x14ac:dyDescent="0.3">
      <c r="A11" s="173">
        <v>46163</v>
      </c>
      <c r="B11" s="174" t="s">
        <v>114</v>
      </c>
      <c r="C11" s="176" t="s">
        <v>129</v>
      </c>
      <c r="D11" s="177" t="s">
        <v>130</v>
      </c>
      <c r="E11" s="173">
        <v>46191</v>
      </c>
      <c r="F11" s="170" t="s">
        <v>104</v>
      </c>
      <c r="G11" s="168" t="s">
        <v>108</v>
      </c>
      <c r="H11" s="176" t="s">
        <v>131</v>
      </c>
    </row>
    <row r="12" spans="1:8" ht="69.75" x14ac:dyDescent="0.3">
      <c r="A12" s="173">
        <v>46163</v>
      </c>
      <c r="B12" s="174" t="s">
        <v>132</v>
      </c>
      <c r="C12" s="175" t="s">
        <v>133</v>
      </c>
      <c r="D12" s="177" t="s">
        <v>134</v>
      </c>
      <c r="E12" s="173">
        <v>46191</v>
      </c>
      <c r="F12" s="170" t="s">
        <v>107</v>
      </c>
      <c r="G12" s="168" t="s">
        <v>108</v>
      </c>
      <c r="H12" s="176" t="s">
        <v>135</v>
      </c>
    </row>
    <row r="13" spans="1:8" ht="46.5" x14ac:dyDescent="0.3">
      <c r="A13" s="173">
        <v>46163</v>
      </c>
      <c r="B13" s="174" t="s">
        <v>136</v>
      </c>
      <c r="C13" s="175" t="s">
        <v>137</v>
      </c>
      <c r="D13" s="177" t="s">
        <v>138</v>
      </c>
      <c r="E13" s="173">
        <v>46167</v>
      </c>
      <c r="F13" s="170" t="s">
        <v>104</v>
      </c>
      <c r="G13" s="167" t="s">
        <v>106</v>
      </c>
      <c r="H13" s="176"/>
    </row>
    <row r="14" spans="1:8" ht="46.5" x14ac:dyDescent="0.3">
      <c r="A14" s="173">
        <v>46163</v>
      </c>
      <c r="B14" s="174" t="s">
        <v>139</v>
      </c>
      <c r="C14" s="175" t="s">
        <v>140</v>
      </c>
      <c r="D14" s="174" t="s">
        <v>139</v>
      </c>
      <c r="E14" s="173"/>
      <c r="F14" s="170" t="s">
        <v>109</v>
      </c>
      <c r="G14" s="169" t="s">
        <v>105</v>
      </c>
      <c r="H14" s="176"/>
    </row>
    <row r="15" spans="1:8" ht="23.25" x14ac:dyDescent="0.3">
      <c r="A15" s="173"/>
      <c r="B15" s="174"/>
      <c r="C15" s="175"/>
      <c r="D15" s="177"/>
      <c r="E15" s="173"/>
      <c r="F15" s="170"/>
      <c r="G15" s="165"/>
      <c r="H15" s="176"/>
    </row>
    <row r="16" spans="1:8" ht="46.5" x14ac:dyDescent="0.3">
      <c r="A16" s="173">
        <v>46170</v>
      </c>
      <c r="B16" s="174" t="s">
        <v>111</v>
      </c>
      <c r="C16" s="175" t="s">
        <v>141</v>
      </c>
      <c r="D16" s="177" t="s">
        <v>113</v>
      </c>
      <c r="E16" s="173">
        <v>46191</v>
      </c>
      <c r="F16" s="170" t="s">
        <v>104</v>
      </c>
      <c r="G16" s="168" t="s">
        <v>108</v>
      </c>
      <c r="H16" s="176" t="s">
        <v>135</v>
      </c>
    </row>
    <row r="17" spans="1:8" ht="69.75" x14ac:dyDescent="0.3">
      <c r="A17" s="173">
        <v>46170</v>
      </c>
      <c r="B17" s="174" t="s">
        <v>123</v>
      </c>
      <c r="C17" s="175" t="s">
        <v>142</v>
      </c>
      <c r="D17" s="177" t="s">
        <v>123</v>
      </c>
      <c r="E17" s="173">
        <v>46191</v>
      </c>
      <c r="F17" s="170" t="s">
        <v>107</v>
      </c>
      <c r="G17" s="167" t="s">
        <v>106</v>
      </c>
      <c r="H17" s="176"/>
    </row>
    <row r="18" spans="1:8" ht="23.25" x14ac:dyDescent="0.3">
      <c r="A18" s="173">
        <v>46170</v>
      </c>
      <c r="B18" s="174" t="s">
        <v>117</v>
      </c>
      <c r="C18" s="175" t="s">
        <v>143</v>
      </c>
      <c r="D18" s="177" t="s">
        <v>119</v>
      </c>
      <c r="E18" s="173">
        <v>46191</v>
      </c>
      <c r="F18" s="170" t="s">
        <v>107</v>
      </c>
      <c r="G18" s="168" t="s">
        <v>108</v>
      </c>
      <c r="H18" s="176" t="s">
        <v>144</v>
      </c>
    </row>
    <row r="19" spans="1:8" ht="46.5" x14ac:dyDescent="0.3">
      <c r="A19" s="173">
        <v>46170</v>
      </c>
      <c r="B19" s="174" t="s">
        <v>139</v>
      </c>
      <c r="C19" s="175" t="s">
        <v>145</v>
      </c>
      <c r="D19" s="177" t="s">
        <v>146</v>
      </c>
      <c r="E19" s="173">
        <v>46191</v>
      </c>
      <c r="F19" s="170" t="s">
        <v>104</v>
      </c>
      <c r="G19" s="168" t="s">
        <v>108</v>
      </c>
      <c r="H19" s="176" t="s">
        <v>147</v>
      </c>
    </row>
    <row r="20" spans="1:8" ht="69.75" x14ac:dyDescent="0.3">
      <c r="A20" s="173">
        <v>46170</v>
      </c>
      <c r="B20" s="174" t="s">
        <v>139</v>
      </c>
      <c r="C20" s="175" t="s">
        <v>148</v>
      </c>
      <c r="D20" s="177" t="s">
        <v>149</v>
      </c>
      <c r="E20" s="173">
        <v>46191</v>
      </c>
      <c r="F20" s="170" t="s">
        <v>104</v>
      </c>
      <c r="G20" s="168" t="s">
        <v>108</v>
      </c>
      <c r="H20" s="176" t="s">
        <v>150</v>
      </c>
    </row>
    <row r="21" spans="1:8" ht="46.5" x14ac:dyDescent="0.3">
      <c r="A21" s="173">
        <v>46170</v>
      </c>
      <c r="B21" s="174" t="s">
        <v>151</v>
      </c>
      <c r="C21" s="175" t="s">
        <v>152</v>
      </c>
      <c r="D21" s="177" t="s">
        <v>153</v>
      </c>
      <c r="E21" s="173">
        <v>46191</v>
      </c>
      <c r="F21" s="170" t="s">
        <v>104</v>
      </c>
      <c r="G21" s="169" t="s">
        <v>105</v>
      </c>
      <c r="H21" s="176"/>
    </row>
    <row r="22" spans="1:8" ht="46.5" x14ac:dyDescent="0.3">
      <c r="A22" s="173">
        <v>46170</v>
      </c>
      <c r="B22" s="174" t="s">
        <v>151</v>
      </c>
      <c r="C22" s="175" t="s">
        <v>154</v>
      </c>
      <c r="D22" s="177" t="s">
        <v>153</v>
      </c>
      <c r="E22" s="173">
        <v>46191</v>
      </c>
      <c r="F22" s="170" t="s">
        <v>104</v>
      </c>
      <c r="G22" s="169" t="s">
        <v>105</v>
      </c>
      <c r="H22" s="176"/>
    </row>
    <row r="23" spans="1:8" ht="23.25" x14ac:dyDescent="0.3">
      <c r="A23" s="173">
        <v>46170</v>
      </c>
      <c r="B23" s="177" t="s">
        <v>156</v>
      </c>
      <c r="C23" s="175" t="s">
        <v>155</v>
      </c>
      <c r="D23" s="177" t="s">
        <v>156</v>
      </c>
      <c r="E23" s="173">
        <v>46191</v>
      </c>
      <c r="F23" s="170" t="s">
        <v>104</v>
      </c>
      <c r="G23" s="168" t="s">
        <v>108</v>
      </c>
      <c r="H23" s="176" t="s">
        <v>157</v>
      </c>
    </row>
    <row r="24" spans="1:8" ht="46.5" x14ac:dyDescent="0.3">
      <c r="A24" s="173">
        <v>46170</v>
      </c>
      <c r="B24" s="174" t="s">
        <v>136</v>
      </c>
      <c r="C24" s="176" t="s">
        <v>158</v>
      </c>
      <c r="D24" s="177" t="s">
        <v>138</v>
      </c>
      <c r="E24" s="173">
        <v>46191</v>
      </c>
      <c r="F24" s="170" t="s">
        <v>104</v>
      </c>
      <c r="G24" s="167" t="s">
        <v>106</v>
      </c>
      <c r="H24" s="176" t="s">
        <v>159</v>
      </c>
    </row>
    <row r="25" spans="1:8" ht="23.25" x14ac:dyDescent="0.3">
      <c r="A25" s="173"/>
      <c r="B25" s="174"/>
      <c r="C25" s="176"/>
      <c r="D25" s="177"/>
      <c r="E25" s="173"/>
      <c r="F25" s="170"/>
      <c r="G25" s="165"/>
      <c r="H25" s="176"/>
    </row>
    <row r="26" spans="1:8" ht="46.5" x14ac:dyDescent="0.3">
      <c r="A26" s="173">
        <v>46178</v>
      </c>
      <c r="B26" s="174" t="s">
        <v>160</v>
      </c>
      <c r="C26" s="176" t="s">
        <v>161</v>
      </c>
      <c r="D26" s="177" t="s">
        <v>162</v>
      </c>
      <c r="E26" s="173">
        <v>46191</v>
      </c>
      <c r="F26" s="170" t="s">
        <v>104</v>
      </c>
      <c r="G26" s="168" t="s">
        <v>108</v>
      </c>
      <c r="H26" s="176"/>
    </row>
    <row r="27" spans="1:8" ht="93" x14ac:dyDescent="0.3">
      <c r="A27" s="173">
        <v>46178</v>
      </c>
      <c r="B27" s="174" t="s">
        <v>123</v>
      </c>
      <c r="C27" s="176" t="s">
        <v>163</v>
      </c>
      <c r="D27" s="177" t="s">
        <v>164</v>
      </c>
      <c r="E27" s="173">
        <v>46191</v>
      </c>
      <c r="F27" s="170" t="s">
        <v>104</v>
      </c>
      <c r="G27" s="168" t="s">
        <v>108</v>
      </c>
      <c r="H27" s="176"/>
    </row>
    <row r="28" spans="1:8" ht="46.5" x14ac:dyDescent="0.3">
      <c r="A28" s="173">
        <v>46178</v>
      </c>
      <c r="B28" s="174" t="s">
        <v>117</v>
      </c>
      <c r="C28" s="176" t="s">
        <v>165</v>
      </c>
      <c r="D28" s="177" t="s">
        <v>164</v>
      </c>
      <c r="E28" s="173">
        <v>46191</v>
      </c>
      <c r="F28" s="170" t="s">
        <v>104</v>
      </c>
      <c r="G28" s="168" t="s">
        <v>108</v>
      </c>
      <c r="H28" s="176"/>
    </row>
    <row r="29" spans="1:8" ht="23.25" x14ac:dyDescent="0.3">
      <c r="A29" s="173"/>
      <c r="B29" s="174"/>
      <c r="C29" s="175"/>
      <c r="D29" s="177"/>
      <c r="E29" s="173"/>
      <c r="F29" s="170"/>
      <c r="G29" s="165"/>
      <c r="H29" s="176"/>
    </row>
    <row r="30" spans="1:8" ht="46.5" x14ac:dyDescent="0.3">
      <c r="A30" s="173">
        <v>46184</v>
      </c>
      <c r="B30" s="174" t="s">
        <v>166</v>
      </c>
      <c r="C30" s="175" t="s">
        <v>167</v>
      </c>
      <c r="D30" s="177" t="s">
        <v>168</v>
      </c>
      <c r="E30" s="173">
        <v>46191</v>
      </c>
      <c r="F30" s="170" t="s">
        <v>104</v>
      </c>
      <c r="G30" s="168" t="s">
        <v>108</v>
      </c>
      <c r="H30" s="176"/>
    </row>
    <row r="31" spans="1:8" ht="46.5" x14ac:dyDescent="0.3">
      <c r="A31" s="173">
        <v>46184</v>
      </c>
      <c r="B31" s="174" t="s">
        <v>166</v>
      </c>
      <c r="C31" s="175" t="s">
        <v>169</v>
      </c>
      <c r="D31" s="177" t="s">
        <v>168</v>
      </c>
      <c r="E31" s="173">
        <v>46191</v>
      </c>
      <c r="F31" s="170" t="s">
        <v>107</v>
      </c>
      <c r="G31" s="168" t="s">
        <v>108</v>
      </c>
      <c r="H31" s="176"/>
    </row>
    <row r="32" spans="1:8" ht="46.5" x14ac:dyDescent="0.3">
      <c r="A32" s="173">
        <v>46184</v>
      </c>
      <c r="B32" s="174" t="s">
        <v>166</v>
      </c>
      <c r="C32" s="175" t="s">
        <v>170</v>
      </c>
      <c r="D32" s="177" t="s">
        <v>168</v>
      </c>
      <c r="E32" s="173">
        <v>46191</v>
      </c>
      <c r="F32" s="170" t="s">
        <v>107</v>
      </c>
      <c r="G32" s="168" t="s">
        <v>108</v>
      </c>
      <c r="H32" s="176"/>
    </row>
    <row r="33" spans="1:8" ht="69.75" x14ac:dyDescent="0.3">
      <c r="A33" s="173">
        <v>46184</v>
      </c>
      <c r="B33" s="174" t="s">
        <v>166</v>
      </c>
      <c r="C33" s="175" t="s">
        <v>171</v>
      </c>
      <c r="D33" s="177" t="s">
        <v>168</v>
      </c>
      <c r="E33" s="173">
        <v>46191</v>
      </c>
      <c r="F33" s="170" t="s">
        <v>107</v>
      </c>
      <c r="G33" s="168" t="s">
        <v>108</v>
      </c>
      <c r="H33" s="176"/>
    </row>
    <row r="34" spans="1:8" ht="69.75" x14ac:dyDescent="0.3">
      <c r="A34" s="173">
        <v>46184</v>
      </c>
      <c r="B34" s="174" t="s">
        <v>166</v>
      </c>
      <c r="C34" s="175" t="s">
        <v>172</v>
      </c>
      <c r="D34" s="177" t="s">
        <v>168</v>
      </c>
      <c r="E34" s="173">
        <v>46191</v>
      </c>
      <c r="F34" s="170" t="s">
        <v>107</v>
      </c>
      <c r="G34" s="168" t="s">
        <v>108</v>
      </c>
      <c r="H34" s="176"/>
    </row>
    <row r="35" spans="1:8" ht="23.25" x14ac:dyDescent="0.3">
      <c r="A35" s="173"/>
      <c r="B35" s="174"/>
      <c r="C35" s="175"/>
      <c r="D35" s="177"/>
      <c r="E35" s="173"/>
      <c r="F35" s="170"/>
      <c r="G35" s="165"/>
      <c r="H35" s="176"/>
    </row>
    <row r="36" spans="1:8" ht="139.5" x14ac:dyDescent="0.3">
      <c r="A36" s="173">
        <v>46188</v>
      </c>
      <c r="B36" s="174" t="s">
        <v>166</v>
      </c>
      <c r="C36" s="175" t="s">
        <v>173</v>
      </c>
      <c r="D36" s="177" t="s">
        <v>168</v>
      </c>
      <c r="E36" s="173">
        <v>46191</v>
      </c>
      <c r="F36" s="170" t="s">
        <v>107</v>
      </c>
      <c r="G36" s="168" t="s">
        <v>108</v>
      </c>
      <c r="H36" s="176"/>
    </row>
    <row r="37" spans="1:8" ht="46.5" x14ac:dyDescent="0.3">
      <c r="A37" s="173">
        <v>46188</v>
      </c>
      <c r="B37" s="174" t="s">
        <v>166</v>
      </c>
      <c r="C37" s="175" t="s">
        <v>174</v>
      </c>
      <c r="D37" s="177" t="s">
        <v>168</v>
      </c>
      <c r="E37" s="173">
        <v>46191</v>
      </c>
      <c r="F37" s="170" t="s">
        <v>107</v>
      </c>
      <c r="G37" s="168" t="s">
        <v>108</v>
      </c>
      <c r="H37" s="176"/>
    </row>
    <row r="38" spans="1:8" ht="116.25" x14ac:dyDescent="0.3">
      <c r="A38" s="173">
        <v>46188</v>
      </c>
      <c r="B38" s="174" t="s">
        <v>166</v>
      </c>
      <c r="C38" s="175" t="s">
        <v>175</v>
      </c>
      <c r="D38" s="177" t="s">
        <v>176</v>
      </c>
      <c r="E38" s="173">
        <v>46191</v>
      </c>
      <c r="F38" s="170" t="s">
        <v>107</v>
      </c>
      <c r="G38" s="168" t="s">
        <v>108</v>
      </c>
      <c r="H38" s="176"/>
    </row>
    <row r="39" spans="1:8" ht="23.25" x14ac:dyDescent="0.3">
      <c r="A39" s="173"/>
      <c r="B39" s="174"/>
      <c r="C39" s="175"/>
      <c r="D39" s="177"/>
      <c r="E39" s="173"/>
      <c r="F39" s="170"/>
      <c r="G39" s="165"/>
      <c r="H39" s="176"/>
    </row>
    <row r="40" spans="1:8" ht="46.5" x14ac:dyDescent="0.3">
      <c r="A40" s="173">
        <v>46191</v>
      </c>
      <c r="B40" s="177" t="s">
        <v>156</v>
      </c>
      <c r="C40" s="176" t="s">
        <v>177</v>
      </c>
      <c r="D40" s="177" t="s">
        <v>178</v>
      </c>
      <c r="E40" s="173">
        <v>46198</v>
      </c>
      <c r="F40" s="170" t="s">
        <v>107</v>
      </c>
      <c r="G40" s="168" t="s">
        <v>108</v>
      </c>
      <c r="H40" s="176"/>
    </row>
    <row r="41" spans="1:8" ht="93" x14ac:dyDescent="0.3">
      <c r="A41" s="173">
        <v>46191</v>
      </c>
      <c r="B41" s="177" t="s">
        <v>156</v>
      </c>
      <c r="C41" s="175" t="s">
        <v>179</v>
      </c>
      <c r="D41" s="177" t="s">
        <v>180</v>
      </c>
      <c r="E41" s="173">
        <v>46198</v>
      </c>
      <c r="F41" s="170" t="s">
        <v>107</v>
      </c>
      <c r="G41" s="168" t="s">
        <v>108</v>
      </c>
      <c r="H41" s="176"/>
    </row>
    <row r="42" spans="1:8" ht="93" x14ac:dyDescent="0.3">
      <c r="A42" s="173">
        <v>46191</v>
      </c>
      <c r="B42" s="174" t="s">
        <v>151</v>
      </c>
      <c r="C42" s="175" t="s">
        <v>181</v>
      </c>
      <c r="D42" s="177" t="s">
        <v>182</v>
      </c>
      <c r="E42" s="173">
        <v>46198</v>
      </c>
      <c r="F42" s="170" t="s">
        <v>107</v>
      </c>
      <c r="G42" s="168" t="s">
        <v>108</v>
      </c>
      <c r="H42" s="176" t="s">
        <v>183</v>
      </c>
    </row>
    <row r="43" spans="1:8" ht="23.25" x14ac:dyDescent="0.3">
      <c r="A43" s="173"/>
      <c r="B43" s="174"/>
      <c r="C43" s="175"/>
      <c r="D43" s="177"/>
      <c r="E43" s="173"/>
      <c r="F43" s="170"/>
      <c r="G43" s="165"/>
      <c r="H43" s="176"/>
    </row>
    <row r="44" spans="1:8" ht="23.25" x14ac:dyDescent="0.3">
      <c r="A44" s="173">
        <v>46193</v>
      </c>
      <c r="B44" s="177" t="s">
        <v>156</v>
      </c>
      <c r="C44" s="175" t="s">
        <v>217</v>
      </c>
      <c r="D44" s="177" t="s">
        <v>156</v>
      </c>
      <c r="E44" s="173">
        <v>46198</v>
      </c>
      <c r="F44" s="170" t="s">
        <v>104</v>
      </c>
      <c r="G44" s="168" t="s">
        <v>108</v>
      </c>
      <c r="H44" s="176"/>
    </row>
    <row r="45" spans="1:8" ht="23.25" x14ac:dyDescent="0.3">
      <c r="A45" s="173">
        <v>46195</v>
      </c>
      <c r="B45" s="177" t="s">
        <v>156</v>
      </c>
      <c r="C45" s="175" t="s">
        <v>217</v>
      </c>
      <c r="D45" s="177" t="s">
        <v>156</v>
      </c>
      <c r="E45" s="173">
        <v>46198</v>
      </c>
      <c r="F45" s="170" t="s">
        <v>104</v>
      </c>
      <c r="G45" s="168" t="s">
        <v>108</v>
      </c>
      <c r="H45" s="176"/>
    </row>
    <row r="46" spans="1:8" ht="23.25" x14ac:dyDescent="0.3">
      <c r="A46" s="173">
        <v>46196</v>
      </c>
      <c r="B46" s="177" t="s">
        <v>156</v>
      </c>
      <c r="C46" s="175" t="s">
        <v>217</v>
      </c>
      <c r="D46" s="177" t="s">
        <v>156</v>
      </c>
      <c r="E46" s="173">
        <v>46198</v>
      </c>
      <c r="F46" s="170" t="s">
        <v>104</v>
      </c>
      <c r="G46" s="168" t="s">
        <v>108</v>
      </c>
      <c r="H46" s="176"/>
    </row>
    <row r="47" spans="1:8" ht="23.25" x14ac:dyDescent="0.3">
      <c r="A47" s="173">
        <v>46197</v>
      </c>
      <c r="B47" s="177" t="s">
        <v>156</v>
      </c>
      <c r="C47" s="175" t="s">
        <v>217</v>
      </c>
      <c r="D47" s="177" t="s">
        <v>156</v>
      </c>
      <c r="E47" s="173">
        <v>46198</v>
      </c>
      <c r="F47" s="170" t="s">
        <v>104</v>
      </c>
      <c r="G47" s="168" t="s">
        <v>108</v>
      </c>
      <c r="H47" s="176"/>
    </row>
    <row r="48" spans="1:8" ht="46.5" x14ac:dyDescent="0.3">
      <c r="A48" s="173">
        <v>46197</v>
      </c>
      <c r="B48" s="174" t="s">
        <v>111</v>
      </c>
      <c r="C48" s="175" t="s">
        <v>438</v>
      </c>
      <c r="D48" s="177" t="s">
        <v>113</v>
      </c>
      <c r="E48" s="173">
        <v>46198</v>
      </c>
      <c r="F48" s="170" t="s">
        <v>104</v>
      </c>
      <c r="G48" s="168" t="s">
        <v>108</v>
      </c>
      <c r="H48" s="176"/>
    </row>
    <row r="49" spans="1:8" ht="23.25" x14ac:dyDescent="0.3">
      <c r="A49" s="178"/>
      <c r="B49" s="179"/>
      <c r="C49" s="180"/>
      <c r="D49" s="179"/>
      <c r="E49" s="178"/>
      <c r="F49" s="179"/>
      <c r="G49" s="108"/>
      <c r="H49" s="181"/>
    </row>
    <row r="50" spans="1:8" ht="23.25" x14ac:dyDescent="0.3">
      <c r="A50" s="178"/>
      <c r="B50" s="179"/>
      <c r="C50" s="180"/>
      <c r="D50" s="179"/>
      <c r="E50" s="178"/>
      <c r="F50" s="179"/>
      <c r="G50" s="108"/>
      <c r="H50" s="181"/>
    </row>
    <row r="51" spans="1:8" ht="23.25" x14ac:dyDescent="0.3">
      <c r="A51" s="178"/>
      <c r="B51" s="179"/>
      <c r="C51" s="180"/>
      <c r="D51" s="179"/>
      <c r="E51" s="178"/>
      <c r="F51" s="179"/>
      <c r="G51" s="108"/>
      <c r="H51" s="181"/>
    </row>
    <row r="52" spans="1:8" ht="23.25" x14ac:dyDescent="0.3">
      <c r="A52" s="178"/>
      <c r="B52" s="179"/>
      <c r="C52" s="180"/>
      <c r="D52" s="179"/>
      <c r="E52" s="178"/>
      <c r="F52" s="179"/>
      <c r="G52" s="108"/>
      <c r="H52" s="181"/>
    </row>
    <row r="53" spans="1:8" ht="23.25" x14ac:dyDescent="0.3">
      <c r="A53" s="178"/>
      <c r="B53" s="179"/>
      <c r="C53" s="180"/>
      <c r="D53" s="179"/>
      <c r="E53" s="178"/>
      <c r="F53" s="179"/>
      <c r="G53" s="108"/>
      <c r="H53" s="181"/>
    </row>
    <row r="54" spans="1:8" ht="23.25" x14ac:dyDescent="0.3">
      <c r="A54" s="178"/>
      <c r="B54" s="179"/>
      <c r="C54" s="180"/>
      <c r="D54" s="179"/>
      <c r="E54" s="178"/>
      <c r="F54" s="179"/>
      <c r="G54" s="108"/>
      <c r="H54" s="181"/>
    </row>
    <row r="55" spans="1:8" ht="23.25" x14ac:dyDescent="0.3">
      <c r="A55" s="178"/>
      <c r="B55" s="179"/>
      <c r="C55" s="180"/>
      <c r="D55" s="179"/>
      <c r="E55" s="178"/>
      <c r="F55" s="179"/>
      <c r="G55" s="108"/>
      <c r="H55" s="181"/>
    </row>
    <row r="56" spans="1:8" ht="23.25" x14ac:dyDescent="0.3">
      <c r="A56" s="178"/>
      <c r="B56" s="179"/>
      <c r="C56" s="180"/>
      <c r="D56" s="179"/>
      <c r="E56" s="178"/>
      <c r="F56" s="179"/>
      <c r="G56" s="108"/>
      <c r="H56" s="181"/>
    </row>
    <row r="57" spans="1:8" ht="23.25" x14ac:dyDescent="0.3">
      <c r="A57" s="178"/>
      <c r="B57" s="179"/>
      <c r="C57" s="180"/>
      <c r="D57" s="179"/>
      <c r="E57" s="178"/>
      <c r="F57" s="179"/>
      <c r="G57" s="108"/>
      <c r="H57" s="181"/>
    </row>
    <row r="58" spans="1:8" ht="23.25" x14ac:dyDescent="0.3">
      <c r="A58" s="178"/>
      <c r="B58" s="179"/>
      <c r="C58" s="180"/>
      <c r="D58" s="179"/>
      <c r="E58" s="178"/>
      <c r="F58" s="179"/>
      <c r="G58" s="108"/>
      <c r="H58" s="181"/>
    </row>
    <row r="59" spans="1:8" ht="23.25" x14ac:dyDescent="0.3">
      <c r="A59" s="178"/>
      <c r="B59" s="179"/>
      <c r="C59" s="180"/>
      <c r="D59" s="179"/>
      <c r="E59" s="178"/>
      <c r="F59" s="179"/>
      <c r="G59" s="108"/>
      <c r="H59" s="181"/>
    </row>
    <row r="60" spans="1:8" ht="23.25" x14ac:dyDescent="0.3">
      <c r="A60" s="178"/>
      <c r="B60" s="179"/>
      <c r="C60" s="180"/>
      <c r="D60" s="179"/>
      <c r="E60" s="178"/>
      <c r="F60" s="179"/>
      <c r="G60" s="108"/>
      <c r="H60" s="181"/>
    </row>
    <row r="61" spans="1:8" ht="23.25" x14ac:dyDescent="0.3">
      <c r="A61" s="178"/>
      <c r="B61" s="179"/>
      <c r="C61" s="180"/>
      <c r="D61" s="179"/>
      <c r="E61" s="178"/>
      <c r="F61" s="179"/>
      <c r="G61" s="108"/>
      <c r="H61" s="181"/>
    </row>
    <row r="62" spans="1:8" ht="23.25" x14ac:dyDescent="0.3">
      <c r="A62" s="178"/>
      <c r="B62" s="179"/>
      <c r="C62" s="180"/>
      <c r="D62" s="179"/>
      <c r="E62" s="178"/>
      <c r="F62" s="179"/>
      <c r="G62" s="108"/>
      <c r="H62" s="181"/>
    </row>
    <row r="63" spans="1:8" ht="23.25" x14ac:dyDescent="0.3">
      <c r="A63" s="178"/>
      <c r="B63" s="179"/>
      <c r="C63" s="180"/>
      <c r="D63" s="179"/>
      <c r="E63" s="178"/>
      <c r="F63" s="179"/>
      <c r="G63" s="108"/>
      <c r="H63" s="181"/>
    </row>
    <row r="64" spans="1:8" ht="23.25" x14ac:dyDescent="0.3">
      <c r="A64" s="178"/>
      <c r="B64" s="179"/>
      <c r="C64" s="180"/>
      <c r="D64" s="179"/>
      <c r="E64" s="178"/>
      <c r="F64" s="179"/>
      <c r="G64" s="108"/>
      <c r="H64" s="181"/>
    </row>
    <row r="65" spans="1:8" ht="23.25" x14ac:dyDescent="0.3">
      <c r="A65" s="178"/>
      <c r="B65" s="179"/>
      <c r="C65" s="180"/>
      <c r="D65" s="179"/>
      <c r="E65" s="178"/>
      <c r="F65" s="179"/>
      <c r="G65" s="108"/>
      <c r="H65" s="181"/>
    </row>
    <row r="66" spans="1:8" ht="23.25" x14ac:dyDescent="0.3">
      <c r="A66" s="178"/>
      <c r="B66" s="179"/>
      <c r="C66" s="180"/>
      <c r="D66" s="179"/>
      <c r="E66" s="178"/>
      <c r="F66" s="179"/>
      <c r="G66" s="108"/>
      <c r="H66" s="181"/>
    </row>
    <row r="67" spans="1:8" ht="23.25" x14ac:dyDescent="0.3">
      <c r="A67" s="178"/>
      <c r="B67" s="179"/>
      <c r="C67" s="180"/>
      <c r="D67" s="179"/>
      <c r="E67" s="178"/>
      <c r="F67" s="179"/>
      <c r="G67" s="108"/>
      <c r="H67" s="181"/>
    </row>
    <row r="68" spans="1:8" ht="23.25" x14ac:dyDescent="0.3">
      <c r="A68" s="178"/>
      <c r="B68" s="179"/>
      <c r="C68" s="180"/>
      <c r="D68" s="179"/>
      <c r="E68" s="178"/>
      <c r="F68" s="179"/>
      <c r="G68" s="108"/>
      <c r="H68" s="181"/>
    </row>
    <row r="69" spans="1:8" ht="23.25" x14ac:dyDescent="0.3">
      <c r="A69" s="178"/>
      <c r="B69" s="179"/>
      <c r="C69" s="180"/>
      <c r="D69" s="179"/>
      <c r="E69" s="178"/>
      <c r="F69" s="179"/>
      <c r="G69" s="108"/>
      <c r="H69" s="181"/>
    </row>
    <row r="70" spans="1:8" ht="23.25" x14ac:dyDescent="0.3">
      <c r="A70" s="178"/>
      <c r="B70" s="179"/>
      <c r="C70" s="180"/>
      <c r="D70" s="179"/>
      <c r="E70" s="178"/>
      <c r="F70" s="179"/>
      <c r="G70" s="108"/>
      <c r="H70" s="181"/>
    </row>
    <row r="71" spans="1:8" ht="23.25" x14ac:dyDescent="0.3">
      <c r="A71" s="178"/>
      <c r="B71" s="179"/>
      <c r="C71" s="180"/>
      <c r="D71" s="179"/>
      <c r="E71" s="178"/>
      <c r="F71" s="179"/>
      <c r="G71" s="108"/>
      <c r="H71" s="181"/>
    </row>
    <row r="72" spans="1:8" ht="23.25" x14ac:dyDescent="0.3">
      <c r="A72" s="178"/>
      <c r="B72" s="179"/>
      <c r="C72" s="180"/>
      <c r="D72" s="179"/>
      <c r="E72" s="178"/>
      <c r="F72" s="179"/>
      <c r="G72" s="108"/>
      <c r="H72" s="181"/>
    </row>
    <row r="73" spans="1:8" ht="23.25" x14ac:dyDescent="0.3">
      <c r="A73" s="178"/>
      <c r="B73" s="179"/>
      <c r="C73" s="180"/>
      <c r="D73" s="179"/>
      <c r="E73" s="178"/>
      <c r="F73" s="179"/>
      <c r="G73" s="108"/>
      <c r="H73" s="181"/>
    </row>
    <row r="74" spans="1:8" ht="23.25" x14ac:dyDescent="0.3">
      <c r="A74" s="178"/>
      <c r="B74" s="179"/>
      <c r="C74" s="180"/>
      <c r="D74" s="179"/>
      <c r="E74" s="178"/>
      <c r="F74" s="179"/>
      <c r="G74" s="108"/>
      <c r="H74" s="181"/>
    </row>
    <row r="75" spans="1:8" ht="23.25" x14ac:dyDescent="0.3">
      <c r="A75" s="178"/>
      <c r="B75" s="179"/>
      <c r="C75" s="180"/>
      <c r="D75" s="179"/>
      <c r="E75" s="178"/>
      <c r="F75" s="179"/>
      <c r="G75" s="108"/>
      <c r="H75" s="181"/>
    </row>
    <row r="76" spans="1:8" ht="23.25" x14ac:dyDescent="0.3">
      <c r="A76" s="178"/>
      <c r="B76" s="179"/>
      <c r="C76" s="180"/>
      <c r="D76" s="179"/>
      <c r="E76" s="178"/>
      <c r="F76" s="179"/>
      <c r="G76" s="108"/>
      <c r="H76" s="181"/>
    </row>
    <row r="77" spans="1:8" ht="23.25" x14ac:dyDescent="0.3">
      <c r="A77" s="178"/>
      <c r="B77" s="179"/>
      <c r="C77" s="180"/>
      <c r="D77" s="179"/>
      <c r="E77" s="178"/>
      <c r="F77" s="179"/>
      <c r="G77" s="108"/>
      <c r="H77" s="181"/>
    </row>
    <row r="78" spans="1:8" ht="23.25" x14ac:dyDescent="0.3">
      <c r="A78" s="178"/>
      <c r="B78" s="179"/>
      <c r="C78" s="180"/>
      <c r="D78" s="179"/>
      <c r="E78" s="178"/>
      <c r="F78" s="179"/>
      <c r="G78" s="108"/>
      <c r="H78" s="181"/>
    </row>
    <row r="79" spans="1:8" ht="23.25" x14ac:dyDescent="0.3">
      <c r="A79" s="178"/>
      <c r="B79" s="179"/>
      <c r="C79" s="180"/>
      <c r="D79" s="179"/>
      <c r="E79" s="178"/>
      <c r="F79" s="179"/>
      <c r="G79" s="108"/>
      <c r="H79" s="181"/>
    </row>
    <row r="80" spans="1:8" ht="23.25" x14ac:dyDescent="0.3">
      <c r="A80" s="178"/>
      <c r="B80" s="179"/>
      <c r="C80" s="180"/>
      <c r="D80" s="179"/>
      <c r="E80" s="178"/>
      <c r="F80" s="179"/>
      <c r="G80" s="108"/>
      <c r="H80" s="181"/>
    </row>
    <row r="81" spans="1:8" ht="23.25" x14ac:dyDescent="0.3">
      <c r="A81" s="178"/>
      <c r="B81" s="179"/>
      <c r="C81" s="180"/>
      <c r="D81" s="179"/>
      <c r="E81" s="178"/>
      <c r="F81" s="179"/>
      <c r="G81" s="108"/>
      <c r="H81" s="181"/>
    </row>
    <row r="82" spans="1:8" ht="23.25" x14ac:dyDescent="0.3">
      <c r="A82" s="178"/>
      <c r="B82" s="179"/>
      <c r="C82" s="180"/>
      <c r="D82" s="179"/>
      <c r="E82" s="178"/>
      <c r="F82" s="179"/>
      <c r="G82" s="108"/>
      <c r="H82" s="181"/>
    </row>
    <row r="83" spans="1:8" ht="23.25" x14ac:dyDescent="0.3">
      <c r="A83" s="178"/>
      <c r="B83" s="179"/>
      <c r="C83" s="180"/>
      <c r="D83" s="179"/>
      <c r="E83" s="178"/>
      <c r="F83" s="179"/>
      <c r="G83" s="108"/>
      <c r="H83" s="181"/>
    </row>
    <row r="84" spans="1:8" ht="23.25" x14ac:dyDescent="0.3">
      <c r="A84" s="178"/>
      <c r="B84" s="179"/>
      <c r="C84" s="180"/>
      <c r="D84" s="179"/>
      <c r="E84" s="178"/>
      <c r="F84" s="179"/>
      <c r="G84" s="108"/>
      <c r="H84" s="181"/>
    </row>
    <row r="85" spans="1:8" ht="23.25" x14ac:dyDescent="0.3">
      <c r="A85" s="178"/>
      <c r="B85" s="179"/>
      <c r="C85" s="180"/>
      <c r="D85" s="179"/>
      <c r="E85" s="178"/>
      <c r="F85" s="179"/>
      <c r="G85" s="108"/>
      <c r="H85" s="181"/>
    </row>
    <row r="86" spans="1:8" ht="23.25" x14ac:dyDescent="0.3">
      <c r="A86" s="178"/>
      <c r="B86" s="179"/>
      <c r="C86" s="180"/>
      <c r="D86" s="179"/>
      <c r="E86" s="178"/>
      <c r="F86" s="179"/>
      <c r="G86" s="108"/>
      <c r="H86" s="181"/>
    </row>
    <row r="87" spans="1:8" ht="23.25" x14ac:dyDescent="0.3">
      <c r="A87" s="178"/>
      <c r="B87" s="179"/>
      <c r="C87" s="180"/>
      <c r="D87" s="179"/>
      <c r="E87" s="178"/>
      <c r="F87" s="179"/>
      <c r="G87" s="108"/>
      <c r="H87" s="181"/>
    </row>
    <row r="88" spans="1:8" ht="23.25" x14ac:dyDescent="0.3">
      <c r="A88" s="178"/>
      <c r="B88" s="179"/>
      <c r="C88" s="180"/>
      <c r="D88" s="179"/>
      <c r="E88" s="178"/>
      <c r="F88" s="179"/>
      <c r="G88" s="108"/>
      <c r="H88" s="181"/>
    </row>
  </sheetData>
  <dataValidations count="2">
    <dataValidation type="list" allowBlank="1" showInputMessage="1" showErrorMessage="1" sqref="F2:F88" xr:uid="{97F02F8D-A5A0-436E-BC82-EE691789A2A0}">
      <formula1>"High, Medium, Low"</formula1>
    </dataValidation>
    <dataValidation type="list" allowBlank="1" showInputMessage="1" showErrorMessage="1" sqref="G2:G88" xr:uid="{279935EA-B83D-4153-9988-AAF1FBC2C4AA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F986-C3DB-4930-88B9-D45D64B472D9}">
  <sheetPr>
    <tabColor rgb="FF00B050"/>
  </sheetPr>
  <dimension ref="A2:F16"/>
  <sheetViews>
    <sheetView workbookViewId="0">
      <selection activeCell="E14" sqref="E14"/>
    </sheetView>
  </sheetViews>
  <sheetFormatPr defaultColWidth="8.75" defaultRowHeight="16.5" x14ac:dyDescent="0.3"/>
  <cols>
    <col min="1" max="1" width="8.625" style="2"/>
    <col min="2" max="2" width="7.125" bestFit="1" customWidth="1"/>
    <col min="3" max="3" width="20.625" bestFit="1" customWidth="1"/>
    <col min="4" max="4" width="31.5" bestFit="1" customWidth="1"/>
    <col min="5" max="5" width="8.125" customWidth="1"/>
    <col min="6" max="6" width="62.125" bestFit="1" customWidth="1"/>
  </cols>
  <sheetData>
    <row r="2" spans="2:6" x14ac:dyDescent="0.3">
      <c r="B2" t="s">
        <v>2</v>
      </c>
      <c r="C2" t="s">
        <v>184</v>
      </c>
      <c r="D2" t="s">
        <v>185</v>
      </c>
      <c r="E2" t="s">
        <v>96</v>
      </c>
      <c r="F2" t="s">
        <v>186</v>
      </c>
    </row>
    <row r="3" spans="2:6" x14ac:dyDescent="0.3">
      <c r="B3">
        <v>1</v>
      </c>
      <c r="C3" t="s">
        <v>187</v>
      </c>
      <c r="D3" t="s">
        <v>188</v>
      </c>
      <c r="E3" s="4" t="b">
        <v>0</v>
      </c>
    </row>
    <row r="4" spans="2:6" x14ac:dyDescent="0.3">
      <c r="B4">
        <v>2</v>
      </c>
      <c r="C4" t="s">
        <v>189</v>
      </c>
      <c r="D4" t="s">
        <v>190</v>
      </c>
      <c r="E4" s="4" t="b">
        <v>0</v>
      </c>
    </row>
    <row r="5" spans="2:6" x14ac:dyDescent="0.3">
      <c r="B5">
        <v>3</v>
      </c>
      <c r="C5" t="str">
        <f>C4</f>
        <v>Document type setting</v>
      </c>
      <c r="D5" t="s">
        <v>191</v>
      </c>
      <c r="E5" s="4" t="b">
        <v>0</v>
      </c>
    </row>
    <row r="6" spans="2:6" x14ac:dyDescent="0.3">
      <c r="B6">
        <v>4</v>
      </c>
      <c r="C6" t="str">
        <f>C5</f>
        <v>Document type setting</v>
      </c>
      <c r="D6" t="s">
        <v>192</v>
      </c>
      <c r="E6" s="4" t="b">
        <v>0</v>
      </c>
    </row>
    <row r="7" spans="2:6" x14ac:dyDescent="0.3">
      <c r="B7">
        <v>5</v>
      </c>
      <c r="C7" t="str">
        <f t="shared" ref="C7:C8" si="0">C6</f>
        <v>Document type setting</v>
      </c>
      <c r="D7" t="s">
        <v>193</v>
      </c>
      <c r="E7" s="4" t="b">
        <v>0</v>
      </c>
    </row>
    <row r="8" spans="2:6" x14ac:dyDescent="0.3">
      <c r="B8">
        <v>6</v>
      </c>
      <c r="C8" t="str">
        <f t="shared" si="0"/>
        <v>Document type setting</v>
      </c>
      <c r="D8" t="s">
        <v>194</v>
      </c>
      <c r="E8" s="4" t="b">
        <v>0</v>
      </c>
    </row>
    <row r="9" spans="2:6" x14ac:dyDescent="0.3">
      <c r="B9">
        <v>7</v>
      </c>
      <c r="C9" t="s">
        <v>195</v>
      </c>
      <c r="D9" t="s">
        <v>196</v>
      </c>
      <c r="E9" s="4" t="b">
        <v>1</v>
      </c>
      <c r="F9" t="s">
        <v>197</v>
      </c>
    </row>
    <row r="10" spans="2:6" x14ac:dyDescent="0.3">
      <c r="B10">
        <v>8</v>
      </c>
      <c r="C10" t="s">
        <v>195</v>
      </c>
      <c r="D10" t="s">
        <v>198</v>
      </c>
      <c r="E10" s="4" t="b">
        <v>1</v>
      </c>
      <c r="F10" t="s">
        <v>199</v>
      </c>
    </row>
    <row r="11" spans="2:6" x14ac:dyDescent="0.3">
      <c r="B11">
        <v>9</v>
      </c>
      <c r="C11" t="s">
        <v>200</v>
      </c>
      <c r="D11" t="s">
        <v>201</v>
      </c>
      <c r="E11" s="4" t="b">
        <v>0</v>
      </c>
      <c r="F11" t="s">
        <v>202</v>
      </c>
    </row>
    <row r="12" spans="2:6" x14ac:dyDescent="0.3">
      <c r="B12">
        <v>10</v>
      </c>
      <c r="C12" t="s">
        <v>203</v>
      </c>
      <c r="D12" t="s">
        <v>204</v>
      </c>
      <c r="E12" s="4" t="b">
        <v>0</v>
      </c>
      <c r="F12" t="s">
        <v>205</v>
      </c>
    </row>
    <row r="13" spans="2:6" x14ac:dyDescent="0.3">
      <c r="B13">
        <v>11</v>
      </c>
      <c r="C13" t="s">
        <v>189</v>
      </c>
      <c r="D13" t="s">
        <v>206</v>
      </c>
      <c r="E13" s="4" t="b">
        <v>0</v>
      </c>
      <c r="F13" t="s">
        <v>207</v>
      </c>
    </row>
    <row r="14" spans="2:6" x14ac:dyDescent="0.3">
      <c r="B14">
        <v>12</v>
      </c>
      <c r="C14" t="s">
        <v>208</v>
      </c>
      <c r="D14" t="s">
        <v>209</v>
      </c>
      <c r="E14" s="4" t="b">
        <v>1</v>
      </c>
      <c r="F14" t="s">
        <v>210</v>
      </c>
    </row>
    <row r="15" spans="2:6" x14ac:dyDescent="0.3">
      <c r="B15">
        <v>13</v>
      </c>
      <c r="C15" t="s">
        <v>211</v>
      </c>
      <c r="D15" t="s">
        <v>212</v>
      </c>
      <c r="E15" s="4" t="b">
        <v>0</v>
      </c>
      <c r="F15" t="s">
        <v>213</v>
      </c>
    </row>
    <row r="16" spans="2:6" x14ac:dyDescent="0.3">
      <c r="B16">
        <v>14</v>
      </c>
      <c r="C16" t="s">
        <v>110</v>
      </c>
      <c r="D16" t="s">
        <v>214</v>
      </c>
      <c r="E16" s="4" t="b">
        <v>0</v>
      </c>
      <c r="F16" t="s">
        <v>215</v>
      </c>
    </row>
  </sheetData>
  <pageMargins left="0.7" right="0.7" top="0.75" bottom="0.75" header="0.3" footer="0.3"/>
  <ignoredErrors>
    <ignoredError sqref="B3:B11 B12:B1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5C7E-3233-488B-8485-F19099E94E55}">
  <sheetPr>
    <tabColor rgb="FF7030A0"/>
  </sheetPr>
  <dimension ref="B2:C7"/>
  <sheetViews>
    <sheetView topLeftCell="A5" zoomScale="70" zoomScaleNormal="70" workbookViewId="0">
      <selection activeCell="K3" sqref="K3"/>
    </sheetView>
  </sheetViews>
  <sheetFormatPr defaultColWidth="8.75" defaultRowHeight="16.5" x14ac:dyDescent="0.3"/>
  <cols>
    <col min="3" max="3" width="85.75" customWidth="1"/>
  </cols>
  <sheetData>
    <row r="2" spans="2:3" x14ac:dyDescent="0.3">
      <c r="B2" s="5" t="s">
        <v>2</v>
      </c>
      <c r="C2" t="s">
        <v>185</v>
      </c>
    </row>
    <row r="3" spans="2:3" ht="403.5" customHeight="1" x14ac:dyDescent="0.3">
      <c r="B3" s="2">
        <v>7</v>
      </c>
      <c r="C3" t="e" vm="1">
        <v>#VALUE!</v>
      </c>
    </row>
    <row r="4" spans="2:3" ht="162" customHeight="1" x14ac:dyDescent="0.3">
      <c r="B4" s="2">
        <v>8</v>
      </c>
      <c r="C4" t="e" vm="2">
        <v>#VALUE!</v>
      </c>
    </row>
    <row r="5" spans="2:3" ht="234.6" customHeight="1" x14ac:dyDescent="0.3">
      <c r="B5" s="2">
        <v>9</v>
      </c>
      <c r="C5" t="e" vm="3">
        <v>#VALUE!</v>
      </c>
    </row>
    <row r="6" spans="2:3" ht="67.5" customHeight="1" x14ac:dyDescent="0.3">
      <c r="B6" s="2">
        <v>12</v>
      </c>
      <c r="C6" t="e" vm="4">
        <v>#VALUE!</v>
      </c>
    </row>
    <row r="7" spans="2:3" ht="199.5" customHeight="1" x14ac:dyDescent="0.3">
      <c r="B7" s="2">
        <v>13</v>
      </c>
      <c r="C7" t="e" vm="5"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04FE-C1D5-4BB4-8444-E2CC571F99E5}">
  <dimension ref="B1:I77"/>
  <sheetViews>
    <sheetView topLeftCell="A32" workbookViewId="0">
      <selection activeCell="G10" sqref="G10"/>
    </sheetView>
  </sheetViews>
  <sheetFormatPr defaultRowHeight="16.5" x14ac:dyDescent="0.3"/>
  <cols>
    <col min="2" max="2" width="6.25" customWidth="1"/>
    <col min="3" max="3" width="4.125" bestFit="1" customWidth="1"/>
    <col min="4" max="4" width="70.625" customWidth="1"/>
    <col min="5" max="5" width="10.125" customWidth="1"/>
    <col min="6" max="6" width="42.75" customWidth="1"/>
  </cols>
  <sheetData>
    <row r="1" spans="2:6" x14ac:dyDescent="0.3">
      <c r="D1" s="65"/>
    </row>
    <row r="2" spans="2:6" ht="13.5" customHeight="1" x14ac:dyDescent="0.3">
      <c r="B2" s="129" t="s">
        <v>218</v>
      </c>
      <c r="C2" s="129"/>
      <c r="D2" s="132" t="s">
        <v>219</v>
      </c>
      <c r="E2" s="120" t="s">
        <v>216</v>
      </c>
      <c r="F2" s="119" t="s">
        <v>83</v>
      </c>
    </row>
    <row r="3" spans="2:6" ht="13.5" customHeight="1" x14ac:dyDescent="0.3">
      <c r="B3" s="129"/>
      <c r="C3" s="129"/>
      <c r="D3" s="132"/>
      <c r="E3" s="120"/>
      <c r="F3" s="119"/>
    </row>
    <row r="4" spans="2:6" ht="21" x14ac:dyDescent="0.3">
      <c r="B4" s="137" t="s">
        <v>220</v>
      </c>
      <c r="C4" s="137"/>
      <c r="D4" s="137"/>
      <c r="E4" s="137"/>
      <c r="F4" s="137"/>
    </row>
    <row r="5" spans="2:6" ht="21" x14ac:dyDescent="0.3">
      <c r="B5" s="87">
        <v>1</v>
      </c>
      <c r="C5" s="138" t="s">
        <v>221</v>
      </c>
      <c r="D5" s="139"/>
      <c r="E5" s="139"/>
      <c r="F5" s="140"/>
    </row>
    <row r="6" spans="2:6" ht="21" x14ac:dyDescent="0.3">
      <c r="B6" s="88">
        <v>1.1000000000000001</v>
      </c>
      <c r="C6" s="130" t="s">
        <v>222</v>
      </c>
      <c r="D6" s="131"/>
      <c r="E6" s="91"/>
      <c r="F6" s="92"/>
    </row>
    <row r="7" spans="2:6" ht="21" x14ac:dyDescent="0.3">
      <c r="B7" s="126"/>
      <c r="C7" s="10" t="s">
        <v>223</v>
      </c>
      <c r="D7" s="68" t="s">
        <v>224</v>
      </c>
      <c r="E7" s="9"/>
      <c r="F7" s="75"/>
    </row>
    <row r="8" spans="2:6" ht="21" x14ac:dyDescent="0.3">
      <c r="B8" s="127"/>
      <c r="C8" s="10" t="s">
        <v>223</v>
      </c>
      <c r="D8" s="72" t="s">
        <v>225</v>
      </c>
      <c r="E8" s="9"/>
      <c r="F8" s="75"/>
    </row>
    <row r="9" spans="2:6" ht="21" x14ac:dyDescent="0.3">
      <c r="B9" s="127"/>
      <c r="C9" s="10" t="s">
        <v>223</v>
      </c>
      <c r="D9" s="68" t="s">
        <v>226</v>
      </c>
      <c r="E9" s="9"/>
      <c r="F9" s="75"/>
    </row>
    <row r="10" spans="2:6" ht="84" x14ac:dyDescent="0.3">
      <c r="B10" s="128"/>
      <c r="C10" s="10" t="s">
        <v>223</v>
      </c>
      <c r="D10" s="67" t="s">
        <v>227</v>
      </c>
      <c r="E10" s="9"/>
      <c r="F10" s="75"/>
    </row>
    <row r="11" spans="2:6" ht="21" x14ac:dyDescent="0.3">
      <c r="B11" s="116"/>
      <c r="C11" s="117"/>
      <c r="D11" s="117"/>
      <c r="E11" s="117"/>
      <c r="F11" s="118"/>
    </row>
    <row r="12" spans="2:6" ht="21" x14ac:dyDescent="0.3">
      <c r="B12" s="93">
        <v>1.2</v>
      </c>
      <c r="C12" s="124" t="s">
        <v>228</v>
      </c>
      <c r="D12" s="125"/>
      <c r="E12" s="96"/>
      <c r="F12" s="97"/>
    </row>
    <row r="13" spans="2:6" ht="21" x14ac:dyDescent="0.3">
      <c r="B13" s="126"/>
      <c r="C13" s="10" t="s">
        <v>223</v>
      </c>
      <c r="D13" s="68" t="s">
        <v>229</v>
      </c>
      <c r="E13" s="9"/>
      <c r="F13" s="75"/>
    </row>
    <row r="14" spans="2:6" ht="21" x14ac:dyDescent="0.3">
      <c r="B14" s="127"/>
      <c r="C14" s="10" t="s">
        <v>223</v>
      </c>
      <c r="D14" s="68" t="s">
        <v>230</v>
      </c>
      <c r="E14" s="9"/>
      <c r="F14" s="75"/>
    </row>
    <row r="15" spans="2:6" ht="63" x14ac:dyDescent="0.3">
      <c r="B15" s="128"/>
      <c r="C15" s="10" t="s">
        <v>223</v>
      </c>
      <c r="D15" s="67" t="s">
        <v>231</v>
      </c>
      <c r="E15" s="9"/>
      <c r="F15" s="75"/>
    </row>
    <row r="16" spans="2:6" ht="21" x14ac:dyDescent="0.3">
      <c r="B16" s="116"/>
      <c r="C16" s="117"/>
      <c r="D16" s="117"/>
      <c r="E16" s="117"/>
      <c r="F16" s="118"/>
    </row>
    <row r="17" spans="2:6" ht="21" x14ac:dyDescent="0.3">
      <c r="B17" s="93">
        <v>1.3</v>
      </c>
      <c r="C17" s="124" t="s">
        <v>232</v>
      </c>
      <c r="D17" s="125"/>
      <c r="E17" s="96"/>
      <c r="F17" s="97"/>
    </row>
    <row r="18" spans="2:6" ht="21" customHeight="1" x14ac:dyDescent="0.3">
      <c r="B18" s="126"/>
      <c r="C18" s="144" t="s">
        <v>233</v>
      </c>
      <c r="D18" s="145"/>
      <c r="E18" s="9"/>
      <c r="F18" s="75"/>
    </row>
    <row r="19" spans="2:6" ht="21" x14ac:dyDescent="0.3">
      <c r="B19" s="127"/>
      <c r="C19" s="109" t="s">
        <v>234</v>
      </c>
      <c r="D19" s="110"/>
      <c r="E19" s="9"/>
      <c r="F19" s="75"/>
    </row>
    <row r="20" spans="2:6" ht="21" x14ac:dyDescent="0.3">
      <c r="B20" s="127"/>
      <c r="C20" s="10" t="s">
        <v>223</v>
      </c>
      <c r="D20" s="67" t="s">
        <v>235</v>
      </c>
      <c r="E20" s="9"/>
      <c r="F20" s="75"/>
    </row>
    <row r="21" spans="2:6" ht="21" x14ac:dyDescent="0.3">
      <c r="B21" s="127"/>
      <c r="C21" s="10" t="s">
        <v>223</v>
      </c>
      <c r="D21" s="68" t="s">
        <v>236</v>
      </c>
      <c r="E21" s="9"/>
      <c r="F21" s="75"/>
    </row>
    <row r="22" spans="2:6" ht="42" x14ac:dyDescent="0.3">
      <c r="B22" s="128"/>
      <c r="C22" s="10" t="s">
        <v>223</v>
      </c>
      <c r="D22" s="67" t="s">
        <v>237</v>
      </c>
      <c r="E22" s="9"/>
      <c r="F22" s="75"/>
    </row>
    <row r="23" spans="2:6" ht="21" x14ac:dyDescent="0.3">
      <c r="B23" s="116"/>
      <c r="C23" s="117"/>
      <c r="D23" s="117"/>
      <c r="E23" s="117"/>
      <c r="F23" s="118"/>
    </row>
    <row r="24" spans="2:6" ht="21" x14ac:dyDescent="0.3">
      <c r="B24" s="93">
        <v>1.4</v>
      </c>
      <c r="C24" s="124" t="s">
        <v>238</v>
      </c>
      <c r="D24" s="125"/>
      <c r="E24" s="96"/>
      <c r="F24" s="97"/>
    </row>
    <row r="25" spans="2:6" ht="21" x14ac:dyDescent="0.3">
      <c r="B25" s="126"/>
      <c r="C25" s="10" t="s">
        <v>223</v>
      </c>
      <c r="D25" s="68" t="s">
        <v>239</v>
      </c>
      <c r="E25" s="9"/>
      <c r="F25" s="75"/>
    </row>
    <row r="26" spans="2:6" ht="21" x14ac:dyDescent="0.3">
      <c r="B26" s="127"/>
      <c r="C26" s="10" t="s">
        <v>223</v>
      </c>
      <c r="D26" s="68" t="s">
        <v>240</v>
      </c>
      <c r="E26" s="9"/>
      <c r="F26" s="75"/>
    </row>
    <row r="27" spans="2:6" ht="84" x14ac:dyDescent="0.3">
      <c r="B27" s="128"/>
      <c r="C27" s="10" t="s">
        <v>223</v>
      </c>
      <c r="D27" s="67" t="s">
        <v>241</v>
      </c>
      <c r="E27" s="9"/>
      <c r="F27" s="75"/>
    </row>
    <row r="28" spans="2:6" ht="21" x14ac:dyDescent="0.3">
      <c r="B28" s="133"/>
      <c r="C28" s="134"/>
      <c r="D28" s="134"/>
      <c r="E28" s="134"/>
      <c r="F28" s="135"/>
    </row>
    <row r="29" spans="2:6" ht="21" x14ac:dyDescent="0.3">
      <c r="B29" s="93">
        <v>1.5</v>
      </c>
      <c r="C29" s="136" t="s">
        <v>242</v>
      </c>
      <c r="D29" s="136"/>
      <c r="E29" s="96"/>
      <c r="F29" s="97"/>
    </row>
    <row r="30" spans="2:6" ht="21" x14ac:dyDescent="0.3">
      <c r="B30" s="126"/>
      <c r="C30" s="73" t="s">
        <v>223</v>
      </c>
      <c r="D30" s="74" t="s">
        <v>243</v>
      </c>
      <c r="E30" s="8"/>
      <c r="F30" s="76"/>
    </row>
    <row r="31" spans="2:6" ht="21" x14ac:dyDescent="0.3">
      <c r="B31" s="127"/>
      <c r="C31" s="10" t="s">
        <v>223</v>
      </c>
      <c r="D31" s="68" t="s">
        <v>244</v>
      </c>
      <c r="E31" s="9"/>
      <c r="F31" s="75"/>
    </row>
    <row r="32" spans="2:6" ht="21" x14ac:dyDescent="0.3">
      <c r="B32" s="146"/>
      <c r="C32" s="77" t="s">
        <v>223</v>
      </c>
      <c r="D32" s="78" t="s">
        <v>245</v>
      </c>
      <c r="E32" s="79"/>
      <c r="F32" s="80"/>
    </row>
    <row r="33" spans="2:9" ht="21" x14ac:dyDescent="0.3">
      <c r="B33" s="121"/>
      <c r="C33" s="122"/>
      <c r="D33" s="122"/>
      <c r="E33" s="122"/>
      <c r="F33" s="123"/>
    </row>
    <row r="34" spans="2:9" ht="21" x14ac:dyDescent="0.3">
      <c r="B34" s="87">
        <v>2</v>
      </c>
      <c r="C34" s="138" t="s">
        <v>246</v>
      </c>
      <c r="D34" s="139"/>
      <c r="E34" s="139"/>
      <c r="F34" s="140"/>
    </row>
    <row r="35" spans="2:9" ht="21" x14ac:dyDescent="0.3">
      <c r="B35" s="88">
        <v>2.1</v>
      </c>
      <c r="C35" s="89" t="s">
        <v>247</v>
      </c>
      <c r="D35" s="90"/>
      <c r="E35" s="91"/>
      <c r="F35" s="92"/>
    </row>
    <row r="36" spans="2:9" ht="21" x14ac:dyDescent="0.3">
      <c r="B36" s="126"/>
      <c r="C36" s="11" t="s">
        <v>223</v>
      </c>
      <c r="D36" s="70" t="s">
        <v>248</v>
      </c>
      <c r="E36" s="9"/>
      <c r="F36" s="75"/>
    </row>
    <row r="37" spans="2:9" ht="21" x14ac:dyDescent="0.3">
      <c r="B37" s="127"/>
      <c r="C37" s="11" t="s">
        <v>223</v>
      </c>
      <c r="D37" s="69" t="s">
        <v>249</v>
      </c>
      <c r="E37" s="9"/>
      <c r="F37" s="75"/>
    </row>
    <row r="38" spans="2:9" ht="21" x14ac:dyDescent="0.3">
      <c r="B38" s="128"/>
      <c r="C38" s="11" t="s">
        <v>223</v>
      </c>
      <c r="D38" s="69" t="s">
        <v>250</v>
      </c>
      <c r="E38" s="9"/>
      <c r="F38" s="75"/>
    </row>
    <row r="39" spans="2:9" ht="21" x14ac:dyDescent="0.3">
      <c r="B39" s="116"/>
      <c r="C39" s="117"/>
      <c r="D39" s="117"/>
      <c r="E39" s="117"/>
      <c r="F39" s="118"/>
    </row>
    <row r="40" spans="2:9" ht="21" x14ac:dyDescent="0.3">
      <c r="B40" s="93">
        <v>2.2000000000000002</v>
      </c>
      <c r="C40" s="94" t="s">
        <v>251</v>
      </c>
      <c r="D40" s="95"/>
      <c r="E40" s="98"/>
      <c r="F40" s="97"/>
    </row>
    <row r="41" spans="2:9" ht="21" x14ac:dyDescent="0.3">
      <c r="B41" s="147"/>
      <c r="C41" s="11" t="s">
        <v>223</v>
      </c>
      <c r="D41" s="69" t="s">
        <v>252</v>
      </c>
      <c r="E41" s="9"/>
      <c r="F41" s="75"/>
    </row>
    <row r="42" spans="2:9" ht="21" x14ac:dyDescent="0.3">
      <c r="B42" s="148"/>
      <c r="C42" s="11" t="s">
        <v>223</v>
      </c>
      <c r="D42" s="69" t="s">
        <v>253</v>
      </c>
      <c r="E42" s="9"/>
      <c r="F42" s="75"/>
    </row>
    <row r="43" spans="2:9" ht="21" x14ac:dyDescent="0.3">
      <c r="B43" s="148"/>
      <c r="C43" s="11" t="s">
        <v>223</v>
      </c>
      <c r="D43" s="69" t="s">
        <v>254</v>
      </c>
      <c r="E43" s="9"/>
      <c r="F43" s="75"/>
      <c r="I43" s="6"/>
    </row>
    <row r="44" spans="2:9" ht="21" x14ac:dyDescent="0.3">
      <c r="B44" s="148"/>
      <c r="C44" s="28"/>
      <c r="D44" s="69" t="s">
        <v>255</v>
      </c>
      <c r="E44" s="9"/>
      <c r="F44" s="75"/>
    </row>
    <row r="45" spans="2:9" ht="21" x14ac:dyDescent="0.3">
      <c r="B45" s="149"/>
      <c r="C45" s="81"/>
      <c r="D45" s="82" t="s">
        <v>256</v>
      </c>
      <c r="E45" s="79"/>
      <c r="F45" s="80"/>
    </row>
    <row r="46" spans="2:9" ht="21" x14ac:dyDescent="0.3">
      <c r="B46" s="121"/>
      <c r="C46" s="122"/>
      <c r="D46" s="122"/>
      <c r="E46" s="122"/>
      <c r="F46" s="122"/>
    </row>
    <row r="47" spans="2:9" ht="21" x14ac:dyDescent="0.3">
      <c r="B47" s="87">
        <v>3</v>
      </c>
      <c r="C47" s="138" t="s">
        <v>257</v>
      </c>
      <c r="D47" s="139"/>
      <c r="E47" s="139"/>
      <c r="F47" s="140"/>
    </row>
    <row r="48" spans="2:9" ht="21" x14ac:dyDescent="0.3">
      <c r="B48" s="88">
        <v>3.1</v>
      </c>
      <c r="C48" s="89" t="s">
        <v>258</v>
      </c>
      <c r="D48" s="90"/>
      <c r="E48" s="91"/>
      <c r="F48" s="92"/>
    </row>
    <row r="49" spans="2:6" ht="21" x14ac:dyDescent="0.3">
      <c r="B49" s="126"/>
      <c r="C49" s="11" t="s">
        <v>223</v>
      </c>
      <c r="D49" s="69" t="s">
        <v>259</v>
      </c>
      <c r="E49" s="9"/>
      <c r="F49" s="75"/>
    </row>
    <row r="50" spans="2:6" ht="21" x14ac:dyDescent="0.3">
      <c r="B50" s="127"/>
      <c r="C50" s="11" t="s">
        <v>223</v>
      </c>
      <c r="D50" s="69" t="s">
        <v>260</v>
      </c>
      <c r="E50" s="9"/>
      <c r="F50" s="75"/>
    </row>
    <row r="51" spans="2:6" ht="21" x14ac:dyDescent="0.3">
      <c r="B51" s="127"/>
      <c r="C51" s="11" t="s">
        <v>223</v>
      </c>
      <c r="D51" s="69" t="s">
        <v>261</v>
      </c>
      <c r="E51" s="9"/>
      <c r="F51" s="75"/>
    </row>
    <row r="52" spans="2:6" ht="21" x14ac:dyDescent="0.3">
      <c r="B52" s="128"/>
      <c r="C52" s="11" t="s">
        <v>223</v>
      </c>
      <c r="D52" s="69" t="s">
        <v>262</v>
      </c>
      <c r="E52" s="9"/>
      <c r="F52" s="75"/>
    </row>
    <row r="53" spans="2:6" ht="21" x14ac:dyDescent="0.3">
      <c r="B53" s="116"/>
      <c r="C53" s="117"/>
      <c r="D53" s="117"/>
      <c r="E53" s="117"/>
      <c r="F53" s="118"/>
    </row>
    <row r="54" spans="2:6" ht="21" x14ac:dyDescent="0.3">
      <c r="B54" s="88">
        <v>3.2</v>
      </c>
      <c r="C54" s="89" t="s">
        <v>263</v>
      </c>
      <c r="D54" s="90"/>
      <c r="E54" s="91"/>
      <c r="F54" s="92"/>
    </row>
    <row r="55" spans="2:6" ht="21" x14ac:dyDescent="0.3">
      <c r="B55" s="126"/>
      <c r="C55" s="11" t="s">
        <v>223</v>
      </c>
      <c r="D55" s="70" t="s">
        <v>264</v>
      </c>
      <c r="E55" s="9"/>
      <c r="F55" s="75"/>
    </row>
    <row r="56" spans="2:6" ht="21" x14ac:dyDescent="0.3">
      <c r="B56" s="127"/>
      <c r="C56" s="11" t="s">
        <v>223</v>
      </c>
      <c r="D56" s="69" t="s">
        <v>265</v>
      </c>
      <c r="E56" s="9"/>
      <c r="F56" s="75"/>
    </row>
    <row r="57" spans="2:6" ht="21" x14ac:dyDescent="0.3">
      <c r="B57" s="127"/>
      <c r="C57" s="11" t="s">
        <v>223</v>
      </c>
      <c r="D57" s="69" t="s">
        <v>266</v>
      </c>
      <c r="E57" s="9"/>
      <c r="F57" s="75"/>
    </row>
    <row r="58" spans="2:6" ht="21" x14ac:dyDescent="0.3">
      <c r="B58" s="146"/>
      <c r="C58" s="81"/>
      <c r="D58" s="83" t="s">
        <v>267</v>
      </c>
      <c r="E58" s="79"/>
      <c r="F58" s="80"/>
    </row>
    <row r="59" spans="2:6" ht="21" x14ac:dyDescent="0.3">
      <c r="B59" s="121"/>
      <c r="C59" s="122"/>
      <c r="D59" s="122"/>
      <c r="E59" s="122"/>
      <c r="F59" s="122"/>
    </row>
    <row r="60" spans="2:6" ht="21" x14ac:dyDescent="0.3">
      <c r="B60" s="87">
        <v>4</v>
      </c>
      <c r="C60" s="138" t="s">
        <v>268</v>
      </c>
      <c r="D60" s="139"/>
      <c r="E60" s="139"/>
      <c r="F60" s="140"/>
    </row>
    <row r="61" spans="2:6" ht="21" x14ac:dyDescent="0.3">
      <c r="B61" s="88">
        <v>4.0999999999999996</v>
      </c>
      <c r="C61" s="89" t="s">
        <v>269</v>
      </c>
      <c r="D61" s="90"/>
      <c r="E61" s="91"/>
      <c r="F61" s="92"/>
    </row>
    <row r="62" spans="2:6" ht="21" x14ac:dyDescent="0.3">
      <c r="B62" s="126"/>
      <c r="C62" s="11" t="s">
        <v>223</v>
      </c>
      <c r="D62" s="69" t="s">
        <v>270</v>
      </c>
      <c r="E62" s="9"/>
      <c r="F62" s="75"/>
    </row>
    <row r="63" spans="2:6" ht="21" x14ac:dyDescent="0.3">
      <c r="B63" s="127"/>
      <c r="C63" s="11" t="s">
        <v>223</v>
      </c>
      <c r="D63" s="69" t="s">
        <v>271</v>
      </c>
      <c r="E63" s="9"/>
      <c r="F63" s="75"/>
    </row>
    <row r="64" spans="2:6" ht="21" x14ac:dyDescent="0.3">
      <c r="B64" s="128"/>
      <c r="C64" s="11" t="s">
        <v>223</v>
      </c>
      <c r="D64" s="69" t="s">
        <v>272</v>
      </c>
      <c r="E64" s="9"/>
      <c r="F64" s="75"/>
    </row>
    <row r="65" spans="2:6" ht="21" customHeight="1" x14ac:dyDescent="0.3">
      <c r="B65" s="85"/>
      <c r="C65" s="66"/>
      <c r="D65" s="66"/>
      <c r="E65" s="71"/>
      <c r="F65" s="86"/>
    </row>
    <row r="66" spans="2:6" ht="21" x14ac:dyDescent="0.3">
      <c r="B66" s="88">
        <v>4.2</v>
      </c>
      <c r="C66" s="89" t="s">
        <v>273</v>
      </c>
      <c r="D66" s="90"/>
      <c r="E66" s="91"/>
      <c r="F66" s="92"/>
    </row>
    <row r="67" spans="2:6" ht="21" x14ac:dyDescent="0.3">
      <c r="B67" s="126"/>
      <c r="C67" s="11" t="s">
        <v>223</v>
      </c>
      <c r="D67" s="69" t="s">
        <v>274</v>
      </c>
      <c r="E67" s="9"/>
      <c r="F67" s="75"/>
    </row>
    <row r="68" spans="2:6" ht="21" x14ac:dyDescent="0.3">
      <c r="B68" s="127"/>
      <c r="C68" s="11" t="s">
        <v>223</v>
      </c>
      <c r="D68" s="69" t="s">
        <v>275</v>
      </c>
      <c r="E68" s="9"/>
      <c r="F68" s="75"/>
    </row>
    <row r="69" spans="2:6" ht="21" x14ac:dyDescent="0.3">
      <c r="B69" s="146"/>
      <c r="C69" s="84" t="s">
        <v>223</v>
      </c>
      <c r="D69" s="82" t="s">
        <v>276</v>
      </c>
      <c r="E69" s="79" t="b">
        <v>0</v>
      </c>
      <c r="F69" s="80"/>
    </row>
    <row r="70" spans="2:6" ht="21" customHeight="1" x14ac:dyDescent="0.3">
      <c r="B70" s="150"/>
      <c r="C70" s="151"/>
      <c r="D70" s="151"/>
      <c r="E70" s="151"/>
      <c r="F70" s="152"/>
    </row>
    <row r="71" spans="2:6" ht="21" x14ac:dyDescent="0.3">
      <c r="B71" s="87">
        <v>5</v>
      </c>
      <c r="C71" s="138" t="s">
        <v>277</v>
      </c>
      <c r="D71" s="139"/>
      <c r="E71" s="139"/>
      <c r="F71" s="140"/>
    </row>
    <row r="72" spans="2:6" ht="21" x14ac:dyDescent="0.3">
      <c r="B72" s="88">
        <v>5.0999999999999996</v>
      </c>
      <c r="C72" s="89" t="s">
        <v>278</v>
      </c>
      <c r="D72" s="90"/>
      <c r="E72" s="91"/>
      <c r="F72" s="92"/>
    </row>
    <row r="73" spans="2:6" ht="21" x14ac:dyDescent="0.3">
      <c r="B73" s="141"/>
      <c r="C73" s="11" t="s">
        <v>223</v>
      </c>
      <c r="D73" s="69" t="s">
        <v>279</v>
      </c>
      <c r="E73" s="9"/>
      <c r="F73" s="75"/>
    </row>
    <row r="74" spans="2:6" ht="21" x14ac:dyDescent="0.3">
      <c r="B74" s="142"/>
      <c r="C74" s="11" t="s">
        <v>223</v>
      </c>
      <c r="D74" s="69" t="s">
        <v>280</v>
      </c>
      <c r="E74" s="9"/>
      <c r="F74" s="75"/>
    </row>
    <row r="75" spans="2:6" ht="21" x14ac:dyDescent="0.3">
      <c r="B75" s="142"/>
      <c r="C75" s="11" t="s">
        <v>223</v>
      </c>
      <c r="D75" s="69" t="s">
        <v>281</v>
      </c>
      <c r="E75" s="9"/>
      <c r="F75" s="75"/>
    </row>
    <row r="76" spans="2:6" ht="21" x14ac:dyDescent="0.3">
      <c r="B76" s="142"/>
      <c r="C76" s="11" t="s">
        <v>85</v>
      </c>
      <c r="D76" s="69" t="s">
        <v>282</v>
      </c>
      <c r="E76" s="9"/>
      <c r="F76" s="75"/>
    </row>
    <row r="77" spans="2:6" ht="21" x14ac:dyDescent="0.3">
      <c r="B77" s="143"/>
      <c r="C77" s="84"/>
      <c r="D77" s="82" t="s">
        <v>283</v>
      </c>
      <c r="E77" s="79"/>
      <c r="F77" s="80"/>
    </row>
  </sheetData>
  <mergeCells count="39">
    <mergeCell ref="B73:B77"/>
    <mergeCell ref="C18:D18"/>
    <mergeCell ref="C19:D19"/>
    <mergeCell ref="B30:B32"/>
    <mergeCell ref="B36:B38"/>
    <mergeCell ref="B41:B45"/>
    <mergeCell ref="C47:F47"/>
    <mergeCell ref="C60:F60"/>
    <mergeCell ref="C71:F71"/>
    <mergeCell ref="B70:F70"/>
    <mergeCell ref="B62:B64"/>
    <mergeCell ref="B67:B69"/>
    <mergeCell ref="B59:F59"/>
    <mergeCell ref="B49:B52"/>
    <mergeCell ref="B55:B58"/>
    <mergeCell ref="B46:F46"/>
    <mergeCell ref="C17:D17"/>
    <mergeCell ref="B39:F39"/>
    <mergeCell ref="B16:F16"/>
    <mergeCell ref="C24:D24"/>
    <mergeCell ref="C34:F34"/>
    <mergeCell ref="B25:B27"/>
    <mergeCell ref="B23:F23"/>
    <mergeCell ref="B53:F53"/>
    <mergeCell ref="F2:F3"/>
    <mergeCell ref="E2:E3"/>
    <mergeCell ref="B33:F33"/>
    <mergeCell ref="B11:F11"/>
    <mergeCell ref="C12:D12"/>
    <mergeCell ref="B7:B10"/>
    <mergeCell ref="B18:B22"/>
    <mergeCell ref="B2:C3"/>
    <mergeCell ref="C6:D6"/>
    <mergeCell ref="D2:D3"/>
    <mergeCell ref="B28:F28"/>
    <mergeCell ref="C29:D29"/>
    <mergeCell ref="B13:B15"/>
    <mergeCell ref="B4:F4"/>
    <mergeCell ref="C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E3B7-6176-45BD-ADCF-00F5CE6EB22C}">
  <dimension ref="A1:S72"/>
  <sheetViews>
    <sheetView workbookViewId="0">
      <pane ySplit="3" topLeftCell="A10" activePane="bottomLeft" state="frozen"/>
      <selection pane="bottomLeft" activeCell="C3" sqref="C3"/>
    </sheetView>
  </sheetViews>
  <sheetFormatPr defaultRowHeight="16.5" x14ac:dyDescent="0.3"/>
  <cols>
    <col min="1" max="1" width="5.75" style="2" bestFit="1" customWidth="1"/>
    <col min="2" max="2" width="13.5" style="1" bestFit="1" customWidth="1"/>
    <col min="3" max="3" width="46" style="3" customWidth="1"/>
    <col min="4" max="4" width="57.25" style="2" customWidth="1"/>
    <col min="5" max="5" width="13.125" style="2" customWidth="1"/>
    <col min="6" max="6" width="19.25" style="2" customWidth="1"/>
    <col min="7" max="7" width="27" style="2" customWidth="1"/>
    <col min="8" max="8" width="20" style="1" customWidth="1"/>
    <col min="9" max="9" width="16.25" style="2" customWidth="1"/>
    <col min="10" max="10" width="23.125" style="2" customWidth="1"/>
    <col min="11" max="11" width="23" style="2" customWidth="1"/>
    <col min="12" max="12" width="21" style="2" customWidth="1"/>
    <col min="13" max="13" width="39" style="2" customWidth="1"/>
    <col min="14" max="14" width="49.75" style="2" customWidth="1"/>
    <col min="15" max="19" width="9" style="2"/>
  </cols>
  <sheetData>
    <row r="1" spans="1:14" ht="80.25" customHeight="1" x14ac:dyDescent="0.7">
      <c r="A1" s="158"/>
      <c r="B1" s="158"/>
      <c r="C1" s="156" t="s">
        <v>284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23.25" customHeight="1" x14ac:dyDescent="0.6">
      <c r="A2" s="158"/>
      <c r="B2" s="158"/>
      <c r="C2" s="157" t="s">
        <v>285</v>
      </c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</row>
    <row r="3" spans="1:14" s="2" customFormat="1" ht="52.5" x14ac:dyDescent="0.3">
      <c r="A3" s="33" t="s">
        <v>2</v>
      </c>
      <c r="B3" s="42" t="s">
        <v>286</v>
      </c>
      <c r="C3" s="35" t="s">
        <v>287</v>
      </c>
      <c r="D3" s="35" t="s">
        <v>288</v>
      </c>
      <c r="E3" s="35" t="s">
        <v>289</v>
      </c>
      <c r="F3" s="35" t="s">
        <v>290</v>
      </c>
      <c r="G3" s="35" t="s">
        <v>291</v>
      </c>
      <c r="H3" s="35" t="s">
        <v>292</v>
      </c>
      <c r="I3" s="35" t="s">
        <v>293</v>
      </c>
      <c r="J3" s="35" t="s">
        <v>294</v>
      </c>
      <c r="K3" s="35" t="s">
        <v>295</v>
      </c>
      <c r="L3" s="35" t="s">
        <v>296</v>
      </c>
      <c r="M3" s="34" t="s">
        <v>297</v>
      </c>
      <c r="N3" s="52" t="s">
        <v>298</v>
      </c>
    </row>
    <row r="4" spans="1:14" ht="26.25" customHeight="1" x14ac:dyDescent="0.3">
      <c r="A4" s="43">
        <v>1</v>
      </c>
      <c r="B4" s="43" t="s">
        <v>299</v>
      </c>
      <c r="C4" s="44" t="s">
        <v>300</v>
      </c>
      <c r="D4" s="44" t="s">
        <v>301</v>
      </c>
      <c r="E4" s="43" t="s">
        <v>302</v>
      </c>
      <c r="F4" s="43" t="s">
        <v>303</v>
      </c>
      <c r="G4" s="43" t="s">
        <v>304</v>
      </c>
      <c r="H4" s="45">
        <v>45940</v>
      </c>
      <c r="I4" s="43" t="s">
        <v>305</v>
      </c>
      <c r="J4" s="43" t="s">
        <v>306</v>
      </c>
      <c r="K4" s="43" t="s">
        <v>303</v>
      </c>
      <c r="L4" s="43" t="s">
        <v>302</v>
      </c>
      <c r="M4" s="49" t="s">
        <v>307</v>
      </c>
      <c r="N4" s="153" t="s">
        <v>308</v>
      </c>
    </row>
    <row r="5" spans="1:14" ht="26.25" x14ac:dyDescent="0.3">
      <c r="A5" s="43">
        <v>2</v>
      </c>
      <c r="B5" s="43" t="s">
        <v>309</v>
      </c>
      <c r="C5" s="44" t="s">
        <v>310</v>
      </c>
      <c r="D5" s="44" t="s">
        <v>311</v>
      </c>
      <c r="E5" s="43" t="s">
        <v>302</v>
      </c>
      <c r="F5" s="43" t="s">
        <v>303</v>
      </c>
      <c r="G5" s="43" t="s">
        <v>312</v>
      </c>
      <c r="H5" s="43" t="s">
        <v>303</v>
      </c>
      <c r="I5" s="43" t="s">
        <v>303</v>
      </c>
      <c r="J5" s="43" t="s">
        <v>306</v>
      </c>
      <c r="K5" s="43" t="s">
        <v>303</v>
      </c>
      <c r="L5" s="43" t="s">
        <v>302</v>
      </c>
      <c r="M5" s="49" t="s">
        <v>307</v>
      </c>
      <c r="N5" s="154"/>
    </row>
    <row r="6" spans="1:14" ht="26.25" x14ac:dyDescent="0.3">
      <c r="A6" s="43">
        <v>3</v>
      </c>
      <c r="B6" s="43" t="s">
        <v>313</v>
      </c>
      <c r="C6" s="44" t="s">
        <v>314</v>
      </c>
      <c r="D6" s="44" t="s">
        <v>315</v>
      </c>
      <c r="E6" s="43" t="s">
        <v>302</v>
      </c>
      <c r="F6" s="43" t="s">
        <v>303</v>
      </c>
      <c r="G6" s="43" t="s">
        <v>304</v>
      </c>
      <c r="H6" s="45">
        <v>45939</v>
      </c>
      <c r="I6" s="43" t="s">
        <v>316</v>
      </c>
      <c r="J6" s="43" t="s">
        <v>306</v>
      </c>
      <c r="K6" s="43" t="s">
        <v>303</v>
      </c>
      <c r="L6" s="43" t="s">
        <v>302</v>
      </c>
      <c r="M6" s="49" t="s">
        <v>307</v>
      </c>
      <c r="N6" s="154"/>
    </row>
    <row r="7" spans="1:14" ht="26.25" x14ac:dyDescent="0.3">
      <c r="A7" s="43">
        <v>4</v>
      </c>
      <c r="B7" s="43" t="s">
        <v>317</v>
      </c>
      <c r="C7" s="44" t="s">
        <v>318</v>
      </c>
      <c r="D7" s="44" t="s">
        <v>319</v>
      </c>
      <c r="E7" s="43" t="s">
        <v>302</v>
      </c>
      <c r="F7" s="43" t="s">
        <v>303</v>
      </c>
      <c r="G7" s="43" t="s">
        <v>304</v>
      </c>
      <c r="H7" s="45">
        <v>45911</v>
      </c>
      <c r="I7" s="43" t="s">
        <v>320</v>
      </c>
      <c r="J7" s="43" t="s">
        <v>306</v>
      </c>
      <c r="K7" s="43" t="s">
        <v>303</v>
      </c>
      <c r="L7" s="43" t="s">
        <v>302</v>
      </c>
      <c r="M7" s="49" t="s">
        <v>307</v>
      </c>
      <c r="N7" s="154"/>
    </row>
    <row r="8" spans="1:14" ht="26.25" x14ac:dyDescent="0.3">
      <c r="A8" s="43">
        <v>5</v>
      </c>
      <c r="B8" s="43" t="s">
        <v>321</v>
      </c>
      <c r="C8" s="44" t="s">
        <v>322</v>
      </c>
      <c r="D8" s="44" t="s">
        <v>323</v>
      </c>
      <c r="E8" s="43" t="s">
        <v>302</v>
      </c>
      <c r="F8" s="43" t="s">
        <v>303</v>
      </c>
      <c r="G8" s="43" t="s">
        <v>304</v>
      </c>
      <c r="H8" s="45">
        <v>45939</v>
      </c>
      <c r="I8" s="43" t="s">
        <v>324</v>
      </c>
      <c r="J8" s="43" t="s">
        <v>306</v>
      </c>
      <c r="K8" s="43" t="s">
        <v>303</v>
      </c>
      <c r="L8" s="43" t="s">
        <v>302</v>
      </c>
      <c r="M8" s="49" t="s">
        <v>307</v>
      </c>
      <c r="N8" s="154"/>
    </row>
    <row r="9" spans="1:14" ht="26.25" x14ac:dyDescent="0.3">
      <c r="A9" s="43">
        <v>6</v>
      </c>
      <c r="B9" s="43" t="s">
        <v>325</v>
      </c>
      <c r="C9" s="63" t="s">
        <v>326</v>
      </c>
      <c r="D9" s="44" t="s">
        <v>327</v>
      </c>
      <c r="E9" s="43" t="s">
        <v>302</v>
      </c>
      <c r="F9" s="43" t="s">
        <v>303</v>
      </c>
      <c r="G9" s="43" t="s">
        <v>304</v>
      </c>
      <c r="H9" s="45">
        <v>45958</v>
      </c>
      <c r="I9" s="43" t="s">
        <v>305</v>
      </c>
      <c r="J9" s="43" t="s">
        <v>306</v>
      </c>
      <c r="K9" s="43" t="s">
        <v>303</v>
      </c>
      <c r="L9" s="43" t="s">
        <v>302</v>
      </c>
      <c r="M9" s="49" t="s">
        <v>307</v>
      </c>
      <c r="N9" s="154"/>
    </row>
    <row r="10" spans="1:14" ht="26.25" x14ac:dyDescent="0.3">
      <c r="A10" s="46">
        <v>7</v>
      </c>
      <c r="B10" s="46" t="s">
        <v>328</v>
      </c>
      <c r="C10" s="47" t="s">
        <v>329</v>
      </c>
      <c r="D10" s="47" t="s">
        <v>330</v>
      </c>
      <c r="E10" s="46" t="s">
        <v>84</v>
      </c>
      <c r="F10" s="48">
        <v>45717</v>
      </c>
      <c r="G10" s="46" t="s">
        <v>304</v>
      </c>
      <c r="H10" s="48">
        <v>45939</v>
      </c>
      <c r="I10" s="46" t="s">
        <v>324</v>
      </c>
      <c r="J10" s="46" t="s">
        <v>331</v>
      </c>
      <c r="K10" s="48">
        <v>45824</v>
      </c>
      <c r="L10" s="46" t="s">
        <v>302</v>
      </c>
      <c r="M10" s="50" t="s">
        <v>332</v>
      </c>
      <c r="N10" s="154"/>
    </row>
    <row r="11" spans="1:14" ht="26.25" x14ac:dyDescent="0.3">
      <c r="A11" s="46">
        <v>8</v>
      </c>
      <c r="B11" s="46" t="s">
        <v>333</v>
      </c>
      <c r="C11" s="47" t="s">
        <v>334</v>
      </c>
      <c r="D11" s="47" t="s">
        <v>335</v>
      </c>
      <c r="E11" s="46" t="s">
        <v>84</v>
      </c>
      <c r="F11" s="48">
        <v>45717</v>
      </c>
      <c r="G11" s="46" t="s">
        <v>304</v>
      </c>
      <c r="H11" s="48">
        <v>45876</v>
      </c>
      <c r="I11" s="46" t="s">
        <v>324</v>
      </c>
      <c r="J11" s="46" t="s">
        <v>331</v>
      </c>
      <c r="K11" s="48">
        <v>45849</v>
      </c>
      <c r="L11" s="46" t="s">
        <v>84</v>
      </c>
      <c r="M11" s="50" t="s">
        <v>336</v>
      </c>
      <c r="N11" s="154"/>
    </row>
    <row r="12" spans="1:14" ht="26.25" x14ac:dyDescent="0.3">
      <c r="A12" s="39">
        <v>9</v>
      </c>
      <c r="B12" s="39" t="s">
        <v>337</v>
      </c>
      <c r="C12" s="40" t="s">
        <v>338</v>
      </c>
      <c r="D12" s="40" t="s">
        <v>339</v>
      </c>
      <c r="E12" s="39" t="s">
        <v>340</v>
      </c>
      <c r="F12" s="39" t="s">
        <v>303</v>
      </c>
      <c r="G12" s="39" t="s">
        <v>304</v>
      </c>
      <c r="H12" s="41">
        <v>45736</v>
      </c>
      <c r="I12" s="39" t="s">
        <v>324</v>
      </c>
      <c r="J12" s="39" t="s">
        <v>306</v>
      </c>
      <c r="K12" s="39" t="s">
        <v>303</v>
      </c>
      <c r="L12" s="39" t="s">
        <v>340</v>
      </c>
      <c r="M12" s="51" t="s">
        <v>341</v>
      </c>
      <c r="N12" s="154"/>
    </row>
    <row r="13" spans="1:14" ht="26.25" x14ac:dyDescent="0.3">
      <c r="A13" s="39">
        <v>10</v>
      </c>
      <c r="B13" s="39" t="s">
        <v>342</v>
      </c>
      <c r="C13" s="40" t="s">
        <v>343</v>
      </c>
      <c r="D13" s="40" t="s">
        <v>344</v>
      </c>
      <c r="E13" s="39" t="s">
        <v>340</v>
      </c>
      <c r="F13" s="39" t="s">
        <v>303</v>
      </c>
      <c r="G13" s="39" t="s">
        <v>304</v>
      </c>
      <c r="H13" s="41">
        <v>45736</v>
      </c>
      <c r="I13" s="39" t="s">
        <v>320</v>
      </c>
      <c r="J13" s="39" t="s">
        <v>306</v>
      </c>
      <c r="K13" s="39" t="s">
        <v>303</v>
      </c>
      <c r="L13" s="39" t="s">
        <v>340</v>
      </c>
      <c r="M13" s="51" t="s">
        <v>345</v>
      </c>
      <c r="N13" s="154"/>
    </row>
    <row r="14" spans="1:14" ht="26.25" x14ac:dyDescent="0.3">
      <c r="A14" s="39">
        <v>11</v>
      </c>
      <c r="B14" s="39" t="s">
        <v>346</v>
      </c>
      <c r="C14" s="40" t="s">
        <v>347</v>
      </c>
      <c r="D14" s="40" t="s">
        <v>348</v>
      </c>
      <c r="E14" s="39" t="s">
        <v>340</v>
      </c>
      <c r="F14" s="39" t="s">
        <v>303</v>
      </c>
      <c r="G14" s="39" t="s">
        <v>304</v>
      </c>
      <c r="H14" s="41">
        <v>45911</v>
      </c>
      <c r="I14" s="39" t="s">
        <v>324</v>
      </c>
      <c r="J14" s="39" t="s">
        <v>306</v>
      </c>
      <c r="K14" s="39" t="s">
        <v>303</v>
      </c>
      <c r="L14" s="39" t="s">
        <v>340</v>
      </c>
      <c r="M14" s="51" t="s">
        <v>345</v>
      </c>
      <c r="N14" s="154"/>
    </row>
    <row r="15" spans="1:14" ht="26.25" x14ac:dyDescent="0.3">
      <c r="A15" s="39">
        <v>12</v>
      </c>
      <c r="B15" s="39" t="s">
        <v>349</v>
      </c>
      <c r="C15" s="40" t="s">
        <v>350</v>
      </c>
      <c r="D15" s="40" t="s">
        <v>351</v>
      </c>
      <c r="E15" s="39" t="s">
        <v>340</v>
      </c>
      <c r="F15" s="39" t="s">
        <v>303</v>
      </c>
      <c r="G15" s="39" t="s">
        <v>304</v>
      </c>
      <c r="H15" s="41">
        <v>45714</v>
      </c>
      <c r="I15" s="39" t="s">
        <v>324</v>
      </c>
      <c r="J15" s="39" t="s">
        <v>306</v>
      </c>
      <c r="K15" s="39" t="s">
        <v>303</v>
      </c>
      <c r="L15" s="39" t="s">
        <v>340</v>
      </c>
      <c r="M15" s="51" t="s">
        <v>352</v>
      </c>
      <c r="N15" s="154"/>
    </row>
    <row r="16" spans="1:14" ht="26.25" x14ac:dyDescent="0.3">
      <c r="A16" s="43">
        <v>13</v>
      </c>
      <c r="B16" s="43" t="s">
        <v>353</v>
      </c>
      <c r="C16" s="44" t="s">
        <v>354</v>
      </c>
      <c r="D16" s="44" t="s">
        <v>344</v>
      </c>
      <c r="E16" s="43" t="s">
        <v>302</v>
      </c>
      <c r="F16" s="43" t="s">
        <v>303</v>
      </c>
      <c r="G16" s="43" t="s">
        <v>304</v>
      </c>
      <c r="H16" s="45">
        <v>45909</v>
      </c>
      <c r="I16" s="43" t="s">
        <v>324</v>
      </c>
      <c r="J16" s="43" t="s">
        <v>306</v>
      </c>
      <c r="K16" s="43" t="s">
        <v>303</v>
      </c>
      <c r="L16" s="43" t="s">
        <v>340</v>
      </c>
      <c r="M16" s="49" t="s">
        <v>307</v>
      </c>
      <c r="N16" s="154"/>
    </row>
    <row r="17" spans="1:14" ht="26.25" x14ac:dyDescent="0.3">
      <c r="A17" s="56">
        <v>14</v>
      </c>
      <c r="B17" s="56" t="s">
        <v>355</v>
      </c>
      <c r="C17" s="57" t="s">
        <v>356</v>
      </c>
      <c r="D17" s="57" t="s">
        <v>357</v>
      </c>
      <c r="E17" s="56" t="s">
        <v>340</v>
      </c>
      <c r="F17" s="56" t="s">
        <v>303</v>
      </c>
      <c r="G17" s="56" t="s">
        <v>358</v>
      </c>
      <c r="H17" s="56" t="s">
        <v>303</v>
      </c>
      <c r="I17" s="56" t="s">
        <v>303</v>
      </c>
      <c r="J17" s="56" t="s">
        <v>306</v>
      </c>
      <c r="K17" s="56" t="s">
        <v>303</v>
      </c>
      <c r="L17" s="56" t="s">
        <v>340</v>
      </c>
      <c r="M17" s="58" t="s">
        <v>359</v>
      </c>
      <c r="N17" s="154"/>
    </row>
    <row r="18" spans="1:14" ht="26.25" x14ac:dyDescent="0.3">
      <c r="A18" s="43">
        <v>15</v>
      </c>
      <c r="B18" s="43" t="s">
        <v>360</v>
      </c>
      <c r="C18" s="44" t="s">
        <v>361</v>
      </c>
      <c r="D18" s="44" t="s">
        <v>362</v>
      </c>
      <c r="E18" s="43" t="s">
        <v>302</v>
      </c>
      <c r="F18" s="43" t="s">
        <v>303</v>
      </c>
      <c r="G18" s="43" t="s">
        <v>304</v>
      </c>
      <c r="H18" s="45">
        <v>45736</v>
      </c>
      <c r="I18" s="43" t="s">
        <v>324</v>
      </c>
      <c r="J18" s="43" t="s">
        <v>331</v>
      </c>
      <c r="K18" s="45">
        <v>45686</v>
      </c>
      <c r="L18" s="43" t="s">
        <v>340</v>
      </c>
      <c r="M18" s="49" t="s">
        <v>307</v>
      </c>
      <c r="N18" s="154"/>
    </row>
    <row r="19" spans="1:14" ht="26.25" x14ac:dyDescent="0.3">
      <c r="A19" s="39">
        <v>16</v>
      </c>
      <c r="B19" s="39" t="s">
        <v>363</v>
      </c>
      <c r="C19" s="40" t="s">
        <v>364</v>
      </c>
      <c r="D19" s="40" t="s">
        <v>365</v>
      </c>
      <c r="E19" s="39" t="s">
        <v>340</v>
      </c>
      <c r="F19" s="39" t="s">
        <v>303</v>
      </c>
      <c r="G19" s="39" t="s">
        <v>304</v>
      </c>
      <c r="H19" s="39" t="s">
        <v>303</v>
      </c>
      <c r="I19" s="39" t="s">
        <v>320</v>
      </c>
      <c r="J19" s="39" t="s">
        <v>306</v>
      </c>
      <c r="K19" s="39" t="s">
        <v>303</v>
      </c>
      <c r="L19" s="39" t="s">
        <v>340</v>
      </c>
      <c r="M19" s="51" t="s">
        <v>366</v>
      </c>
      <c r="N19" s="154"/>
    </row>
    <row r="20" spans="1:14" ht="26.25" x14ac:dyDescent="0.3">
      <c r="A20" s="39">
        <v>17</v>
      </c>
      <c r="B20" s="39" t="s">
        <v>367</v>
      </c>
      <c r="C20" s="40" t="s">
        <v>368</v>
      </c>
      <c r="D20" s="40" t="s">
        <v>369</v>
      </c>
      <c r="E20" s="39" t="s">
        <v>340</v>
      </c>
      <c r="F20" s="39" t="s">
        <v>303</v>
      </c>
      <c r="G20" s="39" t="s">
        <v>304</v>
      </c>
      <c r="H20" s="41">
        <v>45937</v>
      </c>
      <c r="I20" s="39" t="s">
        <v>320</v>
      </c>
      <c r="J20" s="39" t="s">
        <v>306</v>
      </c>
      <c r="K20" s="39" t="s">
        <v>303</v>
      </c>
      <c r="L20" s="39" t="s">
        <v>340</v>
      </c>
      <c r="M20" s="51" t="s">
        <v>370</v>
      </c>
      <c r="N20" s="154"/>
    </row>
    <row r="21" spans="1:14" ht="26.25" x14ac:dyDescent="0.3">
      <c r="A21" s="39">
        <v>18</v>
      </c>
      <c r="B21" s="39" t="s">
        <v>371</v>
      </c>
      <c r="C21" s="40" t="s">
        <v>372</v>
      </c>
      <c r="D21" s="40" t="s">
        <v>344</v>
      </c>
      <c r="E21" s="39" t="s">
        <v>340</v>
      </c>
      <c r="F21" s="39" t="s">
        <v>303</v>
      </c>
      <c r="G21" s="39" t="s">
        <v>304</v>
      </c>
      <c r="H21" s="41">
        <v>45891</v>
      </c>
      <c r="I21" s="39" t="s">
        <v>320</v>
      </c>
      <c r="J21" s="39" t="s">
        <v>306</v>
      </c>
      <c r="K21" s="39" t="s">
        <v>303</v>
      </c>
      <c r="L21" s="39" t="s">
        <v>340</v>
      </c>
      <c r="M21" s="51" t="s">
        <v>373</v>
      </c>
      <c r="N21" s="154"/>
    </row>
    <row r="22" spans="1:14" ht="26.25" x14ac:dyDescent="0.3">
      <c r="A22" s="39">
        <v>19</v>
      </c>
      <c r="B22" s="39" t="s">
        <v>374</v>
      </c>
      <c r="C22" s="40" t="s">
        <v>375</v>
      </c>
      <c r="D22" s="40" t="s">
        <v>344</v>
      </c>
      <c r="E22" s="39" t="s">
        <v>340</v>
      </c>
      <c r="F22" s="39" t="s">
        <v>303</v>
      </c>
      <c r="G22" s="39" t="s">
        <v>304</v>
      </c>
      <c r="H22" s="41">
        <v>45895</v>
      </c>
      <c r="I22" s="39" t="s">
        <v>324</v>
      </c>
      <c r="J22" s="39" t="s">
        <v>331</v>
      </c>
      <c r="K22" s="39" t="s">
        <v>303</v>
      </c>
      <c r="L22" s="39" t="s">
        <v>340</v>
      </c>
      <c r="M22" s="51" t="s">
        <v>376</v>
      </c>
      <c r="N22" s="154"/>
    </row>
    <row r="23" spans="1:14" ht="26.25" x14ac:dyDescent="0.3">
      <c r="A23" s="39">
        <v>20</v>
      </c>
      <c r="B23" s="39" t="s">
        <v>377</v>
      </c>
      <c r="C23" s="40" t="s">
        <v>378</v>
      </c>
      <c r="D23" s="40" t="s">
        <v>379</v>
      </c>
      <c r="E23" s="39" t="s">
        <v>340</v>
      </c>
      <c r="F23" s="39" t="s">
        <v>303</v>
      </c>
      <c r="G23" s="39" t="s">
        <v>304</v>
      </c>
      <c r="H23" s="41">
        <v>45607</v>
      </c>
      <c r="I23" s="39" t="s">
        <v>324</v>
      </c>
      <c r="J23" s="39" t="s">
        <v>331</v>
      </c>
      <c r="K23" s="41">
        <v>45797</v>
      </c>
      <c r="L23" s="39" t="s">
        <v>340</v>
      </c>
      <c r="M23" s="51" t="s">
        <v>380</v>
      </c>
      <c r="N23" s="154"/>
    </row>
    <row r="24" spans="1:14" ht="26.25" x14ac:dyDescent="0.3">
      <c r="A24" s="39">
        <v>21</v>
      </c>
      <c r="B24" s="39" t="s">
        <v>381</v>
      </c>
      <c r="C24" s="40" t="s">
        <v>382</v>
      </c>
      <c r="D24" s="40" t="s">
        <v>383</v>
      </c>
      <c r="E24" s="39" t="s">
        <v>340</v>
      </c>
      <c r="F24" s="39" t="s">
        <v>303</v>
      </c>
      <c r="G24" s="39" t="s">
        <v>304</v>
      </c>
      <c r="H24" s="41">
        <v>45691</v>
      </c>
      <c r="I24" s="39" t="s">
        <v>324</v>
      </c>
      <c r="J24" s="39" t="s">
        <v>306</v>
      </c>
      <c r="K24" s="39" t="s">
        <v>303</v>
      </c>
      <c r="L24" s="39" t="s">
        <v>340</v>
      </c>
      <c r="M24" s="51" t="s">
        <v>345</v>
      </c>
      <c r="N24" s="154"/>
    </row>
    <row r="25" spans="1:14" ht="26.25" x14ac:dyDescent="0.3">
      <c r="A25" s="39">
        <v>22</v>
      </c>
      <c r="B25" s="39" t="s">
        <v>384</v>
      </c>
      <c r="C25" s="40" t="s">
        <v>385</v>
      </c>
      <c r="D25" s="40" t="s">
        <v>344</v>
      </c>
      <c r="E25" s="39" t="s">
        <v>340</v>
      </c>
      <c r="F25" s="39" t="s">
        <v>303</v>
      </c>
      <c r="G25" s="39" t="s">
        <v>304</v>
      </c>
      <c r="H25" s="41">
        <v>45887</v>
      </c>
      <c r="I25" s="39" t="s">
        <v>320</v>
      </c>
      <c r="J25" s="39" t="s">
        <v>306</v>
      </c>
      <c r="K25" s="39" t="s">
        <v>303</v>
      </c>
      <c r="L25" s="39" t="s">
        <v>340</v>
      </c>
      <c r="M25" s="51" t="s">
        <v>386</v>
      </c>
      <c r="N25" s="154"/>
    </row>
    <row r="26" spans="1:14" ht="26.25" x14ac:dyDescent="0.3">
      <c r="A26" s="39">
        <v>23</v>
      </c>
      <c r="B26" s="39" t="s">
        <v>387</v>
      </c>
      <c r="C26" s="40" t="s">
        <v>388</v>
      </c>
      <c r="D26" s="40" t="s">
        <v>389</v>
      </c>
      <c r="E26" s="39" t="s">
        <v>340</v>
      </c>
      <c r="F26" s="39" t="s">
        <v>303</v>
      </c>
      <c r="G26" s="39" t="s">
        <v>304</v>
      </c>
      <c r="H26" s="41">
        <v>45895</v>
      </c>
      <c r="I26" s="39" t="s">
        <v>324</v>
      </c>
      <c r="J26" s="39" t="s">
        <v>306</v>
      </c>
      <c r="K26" s="39" t="s">
        <v>303</v>
      </c>
      <c r="L26" s="39" t="s">
        <v>340</v>
      </c>
      <c r="M26" s="51" t="s">
        <v>390</v>
      </c>
      <c r="N26" s="154"/>
    </row>
    <row r="27" spans="1:14" ht="52.5" x14ac:dyDescent="0.3">
      <c r="A27" s="39">
        <v>24</v>
      </c>
      <c r="B27" s="39" t="s">
        <v>391</v>
      </c>
      <c r="C27" s="40" t="s">
        <v>392</v>
      </c>
      <c r="D27" s="40" t="s">
        <v>393</v>
      </c>
      <c r="E27" s="39" t="s">
        <v>340</v>
      </c>
      <c r="F27" s="39" t="s">
        <v>303</v>
      </c>
      <c r="G27" s="39" t="s">
        <v>304</v>
      </c>
      <c r="H27" s="41">
        <v>45911</v>
      </c>
      <c r="I27" s="39" t="s">
        <v>324</v>
      </c>
      <c r="J27" s="39" t="s">
        <v>306</v>
      </c>
      <c r="K27" s="39" t="s">
        <v>303</v>
      </c>
      <c r="L27" s="39" t="s">
        <v>340</v>
      </c>
      <c r="M27" s="51" t="s">
        <v>394</v>
      </c>
      <c r="N27" s="154"/>
    </row>
    <row r="28" spans="1:14" ht="26.25" x14ac:dyDescent="0.3">
      <c r="A28" s="39">
        <v>25</v>
      </c>
      <c r="B28" s="39" t="s">
        <v>395</v>
      </c>
      <c r="C28" s="40" t="s">
        <v>396</v>
      </c>
      <c r="D28" s="40" t="s">
        <v>397</v>
      </c>
      <c r="E28" s="39" t="s">
        <v>340</v>
      </c>
      <c r="F28" s="39" t="s">
        <v>303</v>
      </c>
      <c r="G28" s="39" t="s">
        <v>304</v>
      </c>
      <c r="H28" s="41">
        <v>45828</v>
      </c>
      <c r="I28" s="39" t="s">
        <v>320</v>
      </c>
      <c r="J28" s="39" t="s">
        <v>306</v>
      </c>
      <c r="K28" s="39" t="s">
        <v>303</v>
      </c>
      <c r="L28" s="39" t="s">
        <v>340</v>
      </c>
      <c r="M28" s="51" t="s">
        <v>398</v>
      </c>
      <c r="N28" s="154"/>
    </row>
    <row r="29" spans="1:14" ht="26.25" x14ac:dyDescent="0.3">
      <c r="A29" s="39">
        <v>26</v>
      </c>
      <c r="B29" s="39" t="s">
        <v>399</v>
      </c>
      <c r="C29" s="40" t="s">
        <v>400</v>
      </c>
      <c r="D29" s="40" t="s">
        <v>401</v>
      </c>
      <c r="E29" s="39" t="s">
        <v>340</v>
      </c>
      <c r="F29" s="39" t="s">
        <v>303</v>
      </c>
      <c r="G29" s="39" t="s">
        <v>304</v>
      </c>
      <c r="H29" s="41">
        <v>45896</v>
      </c>
      <c r="I29" s="39" t="s">
        <v>324</v>
      </c>
      <c r="J29" s="39" t="s">
        <v>306</v>
      </c>
      <c r="K29" s="39" t="s">
        <v>303</v>
      </c>
      <c r="L29" s="39" t="s">
        <v>340</v>
      </c>
      <c r="M29" s="51" t="s">
        <v>402</v>
      </c>
      <c r="N29" s="154"/>
    </row>
    <row r="30" spans="1:14" ht="26.25" x14ac:dyDescent="0.3">
      <c r="A30" s="39">
        <v>27</v>
      </c>
      <c r="B30" s="39" t="s">
        <v>403</v>
      </c>
      <c r="C30" s="40" t="s">
        <v>404</v>
      </c>
      <c r="D30" s="40" t="s">
        <v>405</v>
      </c>
      <c r="E30" s="39" t="s">
        <v>340</v>
      </c>
      <c r="F30" s="39" t="s">
        <v>303</v>
      </c>
      <c r="G30" s="39" t="s">
        <v>304</v>
      </c>
      <c r="H30" s="41">
        <v>45884</v>
      </c>
      <c r="I30" s="39" t="s">
        <v>324</v>
      </c>
      <c r="J30" s="39" t="s">
        <v>306</v>
      </c>
      <c r="K30" s="39" t="s">
        <v>303</v>
      </c>
      <c r="L30" s="39" t="s">
        <v>340</v>
      </c>
      <c r="M30" s="51" t="s">
        <v>406</v>
      </c>
      <c r="N30" s="155"/>
    </row>
    <row r="31" spans="1:14" ht="23.25" x14ac:dyDescent="0.5">
      <c r="C31" s="29" t="s">
        <v>345</v>
      </c>
      <c r="D31" s="29" t="s">
        <v>345</v>
      </c>
      <c r="E31" s="29" t="s">
        <v>345</v>
      </c>
      <c r="F31" s="29" t="s">
        <v>345</v>
      </c>
      <c r="G31" s="29" t="s">
        <v>345</v>
      </c>
      <c r="H31" s="30" t="s">
        <v>345</v>
      </c>
      <c r="I31" s="29" t="s">
        <v>345</v>
      </c>
      <c r="J31" s="29" t="s">
        <v>345</v>
      </c>
      <c r="K31" s="29" t="s">
        <v>345</v>
      </c>
      <c r="L31" s="29" t="s">
        <v>345</v>
      </c>
      <c r="M31" s="29" t="s">
        <v>345</v>
      </c>
    </row>
    <row r="32" spans="1:14" ht="23.25" x14ac:dyDescent="0.5">
      <c r="C32" s="29" t="s">
        <v>345</v>
      </c>
      <c r="D32" s="29" t="s">
        <v>345</v>
      </c>
      <c r="E32" s="29" t="s">
        <v>345</v>
      </c>
      <c r="F32" s="29" t="s">
        <v>345</v>
      </c>
      <c r="G32" s="29" t="s">
        <v>345</v>
      </c>
      <c r="H32" s="30" t="s">
        <v>345</v>
      </c>
      <c r="I32" s="29" t="s">
        <v>345</v>
      </c>
      <c r="J32" s="29" t="s">
        <v>345</v>
      </c>
      <c r="K32" s="29" t="s">
        <v>345</v>
      </c>
      <c r="L32" s="29" t="s">
        <v>345</v>
      </c>
      <c r="M32" s="29" t="s">
        <v>345</v>
      </c>
    </row>
    <row r="33" spans="3:13" ht="23.25" x14ac:dyDescent="0.5">
      <c r="C33" s="29" t="s">
        <v>345</v>
      </c>
      <c r="D33" s="29"/>
      <c r="E33" s="29" t="s">
        <v>345</v>
      </c>
      <c r="F33" s="29" t="s">
        <v>345</v>
      </c>
      <c r="G33" s="29" t="s">
        <v>345</v>
      </c>
      <c r="H33" s="30" t="s">
        <v>345</v>
      </c>
      <c r="I33" s="29" t="s">
        <v>345</v>
      </c>
      <c r="J33" s="29" t="s">
        <v>345</v>
      </c>
      <c r="K33" s="29" t="s">
        <v>345</v>
      </c>
      <c r="L33" s="29" t="s">
        <v>345</v>
      </c>
      <c r="M33" s="29" t="s">
        <v>345</v>
      </c>
    </row>
    <row r="34" spans="3:13" ht="23.25" x14ac:dyDescent="0.5">
      <c r="C34" s="29" t="s">
        <v>345</v>
      </c>
      <c r="D34" s="29" t="s">
        <v>345</v>
      </c>
      <c r="E34" s="29" t="s">
        <v>345</v>
      </c>
      <c r="F34" s="29" t="s">
        <v>345</v>
      </c>
      <c r="G34" s="29" t="s">
        <v>345</v>
      </c>
      <c r="H34" s="30" t="s">
        <v>345</v>
      </c>
      <c r="I34" s="29" t="s">
        <v>345</v>
      </c>
      <c r="J34" s="29" t="s">
        <v>345</v>
      </c>
      <c r="K34" s="29" t="s">
        <v>345</v>
      </c>
      <c r="L34" s="29" t="s">
        <v>345</v>
      </c>
      <c r="M34" s="29" t="s">
        <v>345</v>
      </c>
    </row>
    <row r="35" spans="3:13" ht="23.25" x14ac:dyDescent="0.5">
      <c r="C35" s="29" t="s">
        <v>345</v>
      </c>
      <c r="D35" s="29" t="s">
        <v>345</v>
      </c>
      <c r="E35" s="29" t="s">
        <v>345</v>
      </c>
      <c r="F35" s="29" t="s">
        <v>345</v>
      </c>
      <c r="G35" s="29" t="s">
        <v>345</v>
      </c>
      <c r="H35" s="30" t="s">
        <v>345</v>
      </c>
      <c r="I35" s="29" t="s">
        <v>345</v>
      </c>
      <c r="J35" s="29" t="s">
        <v>345</v>
      </c>
      <c r="K35" s="29" t="s">
        <v>345</v>
      </c>
      <c r="L35" s="29" t="s">
        <v>345</v>
      </c>
      <c r="M35" s="29" t="s">
        <v>345</v>
      </c>
    </row>
    <row r="36" spans="3:13" ht="23.25" x14ac:dyDescent="0.5">
      <c r="C36" s="29" t="s">
        <v>345</v>
      </c>
      <c r="D36" s="29" t="s">
        <v>345</v>
      </c>
      <c r="E36" s="29" t="s">
        <v>345</v>
      </c>
      <c r="F36" s="29" t="s">
        <v>345</v>
      </c>
      <c r="G36" s="29" t="s">
        <v>345</v>
      </c>
      <c r="H36" s="30" t="s">
        <v>345</v>
      </c>
      <c r="I36" s="29" t="s">
        <v>345</v>
      </c>
      <c r="J36" s="29" t="s">
        <v>345</v>
      </c>
      <c r="K36" s="29" t="s">
        <v>345</v>
      </c>
      <c r="L36" s="29" t="s">
        <v>345</v>
      </c>
      <c r="M36" s="29" t="s">
        <v>345</v>
      </c>
    </row>
    <row r="37" spans="3:13" ht="23.25" x14ac:dyDescent="0.5">
      <c r="C37" s="29" t="s">
        <v>345</v>
      </c>
      <c r="D37" s="29" t="s">
        <v>345</v>
      </c>
      <c r="E37" s="29" t="s">
        <v>345</v>
      </c>
      <c r="F37" s="29" t="s">
        <v>345</v>
      </c>
      <c r="G37" s="29" t="s">
        <v>345</v>
      </c>
      <c r="H37" s="30" t="s">
        <v>345</v>
      </c>
      <c r="I37" s="29" t="s">
        <v>345</v>
      </c>
      <c r="J37" s="29" t="s">
        <v>345</v>
      </c>
      <c r="K37" s="29" t="s">
        <v>345</v>
      </c>
      <c r="L37" s="29" t="s">
        <v>345</v>
      </c>
      <c r="M37" s="29" t="s">
        <v>345</v>
      </c>
    </row>
    <row r="38" spans="3:13" ht="23.25" x14ac:dyDescent="0.5">
      <c r="C38" s="29" t="s">
        <v>345</v>
      </c>
      <c r="D38" s="29" t="s">
        <v>345</v>
      </c>
      <c r="E38" s="29" t="s">
        <v>345</v>
      </c>
      <c r="F38" s="29" t="s">
        <v>345</v>
      </c>
      <c r="G38" s="29" t="s">
        <v>345</v>
      </c>
      <c r="H38" s="30" t="s">
        <v>345</v>
      </c>
      <c r="I38" s="29" t="s">
        <v>345</v>
      </c>
      <c r="J38" s="29" t="s">
        <v>345</v>
      </c>
      <c r="K38" s="29" t="s">
        <v>345</v>
      </c>
      <c r="L38" s="29" t="s">
        <v>345</v>
      </c>
      <c r="M38" s="29" t="s">
        <v>345</v>
      </c>
    </row>
    <row r="39" spans="3:13" ht="23.25" x14ac:dyDescent="0.5">
      <c r="C39" s="29" t="s">
        <v>345</v>
      </c>
      <c r="D39" s="29" t="s">
        <v>345</v>
      </c>
      <c r="E39" s="29" t="s">
        <v>345</v>
      </c>
      <c r="F39" s="29" t="s">
        <v>345</v>
      </c>
      <c r="G39" s="29" t="s">
        <v>345</v>
      </c>
      <c r="H39" s="30" t="s">
        <v>345</v>
      </c>
      <c r="I39" s="29" t="s">
        <v>345</v>
      </c>
      <c r="J39" s="29" t="s">
        <v>345</v>
      </c>
      <c r="K39" s="29" t="s">
        <v>345</v>
      </c>
      <c r="L39" s="29" t="s">
        <v>345</v>
      </c>
      <c r="M39" s="29" t="s">
        <v>345</v>
      </c>
    </row>
    <row r="40" spans="3:13" ht="23.25" x14ac:dyDescent="0.5">
      <c r="C40" s="29" t="s">
        <v>345</v>
      </c>
      <c r="D40" s="29" t="s">
        <v>345</v>
      </c>
      <c r="E40" s="29" t="s">
        <v>345</v>
      </c>
      <c r="F40" s="29" t="s">
        <v>345</v>
      </c>
      <c r="G40" s="29" t="s">
        <v>345</v>
      </c>
      <c r="H40" s="30" t="s">
        <v>345</v>
      </c>
      <c r="I40" s="29" t="s">
        <v>345</v>
      </c>
      <c r="J40" s="29" t="s">
        <v>345</v>
      </c>
      <c r="K40" s="29" t="s">
        <v>345</v>
      </c>
      <c r="L40" s="29" t="s">
        <v>345</v>
      </c>
      <c r="M40" s="29" t="s">
        <v>345</v>
      </c>
    </row>
    <row r="41" spans="3:13" ht="23.25" x14ac:dyDescent="0.5">
      <c r="C41" s="29" t="s">
        <v>345</v>
      </c>
      <c r="D41" s="29" t="s">
        <v>345</v>
      </c>
      <c r="E41" s="29" t="s">
        <v>345</v>
      </c>
      <c r="F41" s="29" t="s">
        <v>345</v>
      </c>
      <c r="G41" s="29" t="s">
        <v>345</v>
      </c>
      <c r="H41" s="30" t="s">
        <v>345</v>
      </c>
      <c r="I41" s="29" t="s">
        <v>345</v>
      </c>
      <c r="J41" s="29" t="s">
        <v>345</v>
      </c>
      <c r="K41" s="29" t="s">
        <v>345</v>
      </c>
      <c r="L41" s="29" t="s">
        <v>345</v>
      </c>
      <c r="M41" s="29" t="s">
        <v>345</v>
      </c>
    </row>
    <row r="42" spans="3:13" ht="23.25" x14ac:dyDescent="0.5">
      <c r="C42" s="29" t="s">
        <v>345</v>
      </c>
      <c r="D42" s="29" t="s">
        <v>345</v>
      </c>
      <c r="E42" s="29" t="s">
        <v>345</v>
      </c>
      <c r="F42" s="29" t="s">
        <v>345</v>
      </c>
      <c r="G42" s="29" t="s">
        <v>345</v>
      </c>
      <c r="H42" s="30" t="s">
        <v>345</v>
      </c>
      <c r="I42" s="29" t="s">
        <v>345</v>
      </c>
      <c r="J42" s="29" t="s">
        <v>345</v>
      </c>
      <c r="K42" s="29" t="s">
        <v>345</v>
      </c>
      <c r="L42" s="29" t="s">
        <v>345</v>
      </c>
      <c r="M42" s="29" t="s">
        <v>345</v>
      </c>
    </row>
    <row r="43" spans="3:13" ht="23.25" x14ac:dyDescent="0.5">
      <c r="C43" s="29" t="s">
        <v>345</v>
      </c>
      <c r="D43" s="29" t="s">
        <v>345</v>
      </c>
      <c r="E43" s="29" t="s">
        <v>345</v>
      </c>
      <c r="F43" s="29" t="s">
        <v>345</v>
      </c>
      <c r="G43" s="29" t="s">
        <v>345</v>
      </c>
      <c r="H43" s="30" t="s">
        <v>345</v>
      </c>
      <c r="I43" s="29" t="s">
        <v>345</v>
      </c>
      <c r="J43" s="29" t="s">
        <v>345</v>
      </c>
      <c r="K43" s="29" t="s">
        <v>345</v>
      </c>
      <c r="L43" s="29" t="s">
        <v>345</v>
      </c>
      <c r="M43" s="29" t="s">
        <v>345</v>
      </c>
    </row>
    <row r="44" spans="3:13" ht="23.25" x14ac:dyDescent="0.5">
      <c r="C44" s="29" t="s">
        <v>345</v>
      </c>
      <c r="D44" s="29" t="s">
        <v>345</v>
      </c>
      <c r="E44" s="29" t="s">
        <v>345</v>
      </c>
      <c r="F44" s="29" t="s">
        <v>345</v>
      </c>
      <c r="G44" s="29" t="s">
        <v>345</v>
      </c>
      <c r="H44" s="30" t="s">
        <v>345</v>
      </c>
      <c r="I44" s="29" t="s">
        <v>345</v>
      </c>
      <c r="J44" s="29" t="s">
        <v>345</v>
      </c>
      <c r="K44" s="29" t="s">
        <v>345</v>
      </c>
      <c r="L44" s="29" t="s">
        <v>345</v>
      </c>
      <c r="M44" s="29" t="s">
        <v>345</v>
      </c>
    </row>
    <row r="45" spans="3:13" ht="23.25" x14ac:dyDescent="0.5">
      <c r="C45" s="29" t="s">
        <v>345</v>
      </c>
      <c r="D45" s="29" t="s">
        <v>345</v>
      </c>
      <c r="E45" s="29" t="s">
        <v>345</v>
      </c>
      <c r="F45" s="29" t="s">
        <v>345</v>
      </c>
      <c r="G45" s="29" t="s">
        <v>345</v>
      </c>
      <c r="H45" s="30" t="s">
        <v>345</v>
      </c>
      <c r="I45" s="29" t="s">
        <v>345</v>
      </c>
      <c r="J45" s="29" t="s">
        <v>345</v>
      </c>
      <c r="K45" s="29" t="s">
        <v>345</v>
      </c>
      <c r="L45" s="29" t="s">
        <v>345</v>
      </c>
      <c r="M45" s="29" t="s">
        <v>345</v>
      </c>
    </row>
    <row r="46" spans="3:13" ht="23.25" x14ac:dyDescent="0.5">
      <c r="C46" s="29" t="s">
        <v>345</v>
      </c>
      <c r="D46" s="29" t="s">
        <v>345</v>
      </c>
      <c r="E46" s="29" t="s">
        <v>345</v>
      </c>
      <c r="F46" s="29" t="s">
        <v>345</v>
      </c>
      <c r="G46" s="29" t="s">
        <v>345</v>
      </c>
      <c r="H46" s="30" t="s">
        <v>345</v>
      </c>
      <c r="I46" s="29" t="s">
        <v>345</v>
      </c>
      <c r="J46" s="29" t="s">
        <v>345</v>
      </c>
      <c r="K46" s="29" t="s">
        <v>345</v>
      </c>
      <c r="L46" s="29" t="s">
        <v>345</v>
      </c>
      <c r="M46" s="29" t="s">
        <v>345</v>
      </c>
    </row>
    <row r="47" spans="3:13" ht="23.25" x14ac:dyDescent="0.5">
      <c r="C47" s="29" t="s">
        <v>345</v>
      </c>
      <c r="D47" s="29" t="s">
        <v>345</v>
      </c>
      <c r="E47" s="29" t="s">
        <v>345</v>
      </c>
      <c r="F47" s="29" t="s">
        <v>345</v>
      </c>
      <c r="G47" s="29" t="s">
        <v>345</v>
      </c>
      <c r="H47" s="30" t="s">
        <v>345</v>
      </c>
      <c r="I47" s="29" t="s">
        <v>345</v>
      </c>
      <c r="J47" s="29" t="s">
        <v>345</v>
      </c>
      <c r="K47" s="29" t="s">
        <v>345</v>
      </c>
      <c r="L47" s="29" t="s">
        <v>345</v>
      </c>
      <c r="M47" s="29" t="s">
        <v>345</v>
      </c>
    </row>
    <row r="48" spans="3:13" ht="23.25" x14ac:dyDescent="0.5">
      <c r="C48" s="29" t="s">
        <v>345</v>
      </c>
      <c r="D48" s="29" t="s">
        <v>345</v>
      </c>
      <c r="E48" s="29" t="s">
        <v>345</v>
      </c>
      <c r="F48" s="29" t="s">
        <v>345</v>
      </c>
      <c r="G48" s="29" t="s">
        <v>345</v>
      </c>
      <c r="H48" s="30" t="s">
        <v>345</v>
      </c>
      <c r="I48" s="29" t="s">
        <v>345</v>
      </c>
      <c r="J48" s="29" t="s">
        <v>345</v>
      </c>
      <c r="K48" s="29" t="s">
        <v>345</v>
      </c>
      <c r="L48" s="29" t="s">
        <v>345</v>
      </c>
      <c r="M48" s="29" t="s">
        <v>345</v>
      </c>
    </row>
    <row r="49" spans="3:13" ht="23.25" x14ac:dyDescent="0.5">
      <c r="C49" s="29" t="s">
        <v>345</v>
      </c>
      <c r="D49" s="29" t="s">
        <v>345</v>
      </c>
      <c r="E49" s="29" t="s">
        <v>345</v>
      </c>
      <c r="F49" s="29" t="s">
        <v>345</v>
      </c>
      <c r="G49" s="29" t="s">
        <v>345</v>
      </c>
      <c r="H49" s="30" t="s">
        <v>345</v>
      </c>
      <c r="I49" s="29" t="s">
        <v>345</v>
      </c>
      <c r="J49" s="29" t="s">
        <v>345</v>
      </c>
      <c r="K49" s="29" t="s">
        <v>345</v>
      </c>
      <c r="L49" s="29" t="s">
        <v>345</v>
      </c>
      <c r="M49" s="29" t="s">
        <v>345</v>
      </c>
    </row>
    <row r="50" spans="3:13" ht="23.25" x14ac:dyDescent="0.5">
      <c r="C50" s="29" t="s">
        <v>345</v>
      </c>
      <c r="D50" s="29" t="s">
        <v>345</v>
      </c>
      <c r="E50" s="29" t="s">
        <v>345</v>
      </c>
      <c r="F50" s="29" t="s">
        <v>345</v>
      </c>
      <c r="G50" s="29" t="s">
        <v>345</v>
      </c>
      <c r="H50" s="30" t="s">
        <v>345</v>
      </c>
      <c r="I50" s="29" t="s">
        <v>345</v>
      </c>
      <c r="J50" s="29" t="s">
        <v>345</v>
      </c>
      <c r="K50" s="29" t="s">
        <v>345</v>
      </c>
      <c r="L50" s="29" t="s">
        <v>345</v>
      </c>
      <c r="M50" s="29" t="s">
        <v>345</v>
      </c>
    </row>
    <row r="51" spans="3:13" ht="23.25" x14ac:dyDescent="0.5">
      <c r="C51" s="29" t="s">
        <v>345</v>
      </c>
      <c r="D51" s="29" t="s">
        <v>345</v>
      </c>
      <c r="E51" s="29" t="s">
        <v>345</v>
      </c>
      <c r="F51" s="29" t="s">
        <v>345</v>
      </c>
      <c r="G51" s="29" t="s">
        <v>345</v>
      </c>
      <c r="H51" s="30" t="s">
        <v>345</v>
      </c>
      <c r="I51" s="29" t="s">
        <v>345</v>
      </c>
      <c r="J51" s="29" t="s">
        <v>345</v>
      </c>
      <c r="K51" s="29" t="s">
        <v>345</v>
      </c>
      <c r="L51" s="29" t="s">
        <v>345</v>
      </c>
      <c r="M51" s="29" t="s">
        <v>345</v>
      </c>
    </row>
    <row r="52" spans="3:13" ht="23.25" x14ac:dyDescent="0.5">
      <c r="C52" s="29" t="s">
        <v>345</v>
      </c>
      <c r="D52" s="29" t="s">
        <v>345</v>
      </c>
      <c r="E52" s="29" t="s">
        <v>345</v>
      </c>
      <c r="F52" s="29" t="s">
        <v>345</v>
      </c>
      <c r="G52" s="29" t="s">
        <v>345</v>
      </c>
      <c r="H52" s="30" t="s">
        <v>345</v>
      </c>
      <c r="I52" s="29" t="s">
        <v>345</v>
      </c>
      <c r="J52" s="29" t="s">
        <v>345</v>
      </c>
      <c r="K52" s="29" t="s">
        <v>345</v>
      </c>
      <c r="L52" s="29" t="s">
        <v>345</v>
      </c>
      <c r="M52" s="29" t="s">
        <v>345</v>
      </c>
    </row>
    <row r="53" spans="3:13" ht="23.25" x14ac:dyDescent="0.5">
      <c r="C53" s="29" t="s">
        <v>345</v>
      </c>
      <c r="D53" s="29" t="s">
        <v>345</v>
      </c>
      <c r="E53" s="29" t="s">
        <v>345</v>
      </c>
      <c r="F53" s="29" t="s">
        <v>345</v>
      </c>
      <c r="G53" s="29" t="s">
        <v>345</v>
      </c>
      <c r="H53" s="30" t="s">
        <v>345</v>
      </c>
      <c r="I53" s="29" t="s">
        <v>345</v>
      </c>
      <c r="J53" s="29" t="s">
        <v>345</v>
      </c>
      <c r="K53" s="29" t="s">
        <v>345</v>
      </c>
      <c r="L53" s="29" t="s">
        <v>345</v>
      </c>
      <c r="M53" s="29" t="s">
        <v>345</v>
      </c>
    </row>
    <row r="54" spans="3:13" ht="23.25" x14ac:dyDescent="0.5">
      <c r="C54" s="29" t="s">
        <v>345</v>
      </c>
      <c r="D54" s="29" t="s">
        <v>345</v>
      </c>
      <c r="E54" s="29" t="s">
        <v>345</v>
      </c>
      <c r="F54" s="29" t="s">
        <v>345</v>
      </c>
      <c r="G54" s="29" t="s">
        <v>345</v>
      </c>
      <c r="H54" s="30" t="s">
        <v>345</v>
      </c>
      <c r="I54" s="29" t="s">
        <v>345</v>
      </c>
      <c r="J54" s="29" t="s">
        <v>345</v>
      </c>
      <c r="K54" s="29" t="s">
        <v>345</v>
      </c>
      <c r="L54" s="29" t="s">
        <v>345</v>
      </c>
      <c r="M54" s="29" t="s">
        <v>345</v>
      </c>
    </row>
    <row r="70" spans="7:10" hidden="1" x14ac:dyDescent="0.3">
      <c r="G70" s="7" t="s">
        <v>304</v>
      </c>
      <c r="J70" s="2" t="s">
        <v>331</v>
      </c>
    </row>
    <row r="71" spans="7:10" hidden="1" x14ac:dyDescent="0.3">
      <c r="G71" s="7" t="s">
        <v>312</v>
      </c>
      <c r="J71" s="2" t="s">
        <v>306</v>
      </c>
    </row>
    <row r="72" spans="7:10" hidden="1" x14ac:dyDescent="0.3">
      <c r="G72" s="3" t="s">
        <v>358</v>
      </c>
    </row>
  </sheetData>
  <sheetProtection algorithmName="SHA-512" hashValue="rD+g/EGGQluoB929zotGkF1UB+fracJo8pZokWzPKyfm2UJHSnG9+8PTJrmrVvJrnFdL/LycNjbM9MUZyO44kQ==" saltValue="5VFlT568YQx9c4ZpWPYBpw==" spinCount="100000" sheet="1" objects="1" scenarios="1"/>
  <mergeCells count="4">
    <mergeCell ref="N4:N30"/>
    <mergeCell ref="C1:N1"/>
    <mergeCell ref="C2:N2"/>
    <mergeCell ref="A1:B2"/>
  </mergeCells>
  <dataValidations count="2">
    <dataValidation type="list" allowBlank="1" showInputMessage="1" showErrorMessage="1" sqref="G4:G30" xr:uid="{5EF1F37D-A63B-456A-A0B2-91829D2BBE00}">
      <formula1>$G$70:$G$72</formula1>
    </dataValidation>
    <dataValidation type="list" allowBlank="1" showInputMessage="1" showErrorMessage="1" sqref="J4:J30" xr:uid="{6A520DDD-074A-461C-BBEA-5CF89B4D3737}">
      <formula1>$J$70:$J$72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796A73-4C7B-4A1D-A699-5DAD4951802C}">
          <x14:formula1>
            <xm:f>'CMP Adoption Plan'!$M$5:$M$6</xm:f>
          </x14:formula1>
          <xm:sqref>E4:E30 L4:L30</xm:sqref>
        </x14:dataValidation>
        <x14:dataValidation type="list" allowBlank="1" showInputMessage="1" showErrorMessage="1" xr:uid="{19932596-F74E-4EFD-A59F-0F36E55E03B6}">
          <x14:formula1>
            <xm:f>'CMP Adoption Plan'!$O$5:$O$15</xm:f>
          </x14:formula1>
          <xm:sqref>I4:I5 I7:I30 I6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7357-8866-4B76-956B-D5DBA4A01A20}">
  <dimension ref="A1:P15"/>
  <sheetViews>
    <sheetView workbookViewId="0">
      <pane ySplit="4" topLeftCell="A5" activePane="bottomLeft" state="frozen"/>
      <selection pane="bottomLeft" activeCell="Y10" sqref="Y10"/>
    </sheetView>
  </sheetViews>
  <sheetFormatPr defaultRowHeight="13.5" customHeight="1" x14ac:dyDescent="0.3"/>
  <cols>
    <col min="1" max="1" width="5.5" style="6" bestFit="1" customWidth="1"/>
    <col min="2" max="2" width="13.75" style="6" customWidth="1"/>
    <col min="3" max="3" width="29.5" style="6" customWidth="1"/>
    <col min="4" max="4" width="22.625" customWidth="1"/>
    <col min="5" max="5" width="17.125" customWidth="1"/>
    <col min="6" max="6" width="22.75" customWidth="1"/>
    <col min="7" max="7" width="18.25" customWidth="1"/>
    <col min="8" max="8" width="21.25" customWidth="1"/>
    <col min="9" max="9" width="27" customWidth="1"/>
    <col min="11" max="11" width="9" customWidth="1"/>
    <col min="12" max="12" width="18" hidden="1" customWidth="1"/>
    <col min="13" max="13" width="11" hidden="1" customWidth="1"/>
    <col min="14" max="14" width="9" hidden="1" customWidth="1"/>
    <col min="15" max="15" width="9.25" hidden="1" customWidth="1"/>
    <col min="16" max="16" width="18.25" hidden="1" customWidth="1"/>
    <col min="17" max="17" width="9" customWidth="1"/>
  </cols>
  <sheetData>
    <row r="1" spans="1:16" ht="23.25" customHeight="1" x14ac:dyDescent="0.3">
      <c r="A1" s="159"/>
      <c r="B1" s="160"/>
      <c r="C1" s="163" t="s">
        <v>407</v>
      </c>
      <c r="D1" s="163"/>
      <c r="E1" s="163"/>
      <c r="F1" s="163"/>
      <c r="G1" s="163"/>
      <c r="H1" s="163"/>
      <c r="I1" s="163"/>
    </row>
    <row r="2" spans="1:16" ht="33" customHeight="1" x14ac:dyDescent="0.3">
      <c r="A2" s="159"/>
      <c r="B2" s="160"/>
      <c r="C2" s="163"/>
      <c r="D2" s="163"/>
      <c r="E2" s="163"/>
      <c r="F2" s="163"/>
      <c r="G2" s="163"/>
      <c r="H2" s="163"/>
      <c r="I2" s="163"/>
    </row>
    <row r="3" spans="1:16" ht="27" customHeight="1" x14ac:dyDescent="0.3">
      <c r="A3" s="161"/>
      <c r="B3" s="162"/>
      <c r="C3" s="164" t="s">
        <v>408</v>
      </c>
      <c r="D3" s="164"/>
      <c r="E3" s="164"/>
      <c r="F3" s="164"/>
      <c r="G3" s="164"/>
      <c r="H3" s="164"/>
      <c r="I3" s="164"/>
    </row>
    <row r="4" spans="1:16" s="2" customFormat="1" ht="23.25" x14ac:dyDescent="0.25">
      <c r="A4" s="99" t="s">
        <v>2</v>
      </c>
      <c r="B4" s="99" t="s">
        <v>286</v>
      </c>
      <c r="C4" s="99" t="s">
        <v>287</v>
      </c>
      <c r="D4" s="99" t="s">
        <v>409</v>
      </c>
      <c r="E4" s="99" t="s">
        <v>410</v>
      </c>
      <c r="F4" s="99" t="s">
        <v>411</v>
      </c>
      <c r="G4" s="99" t="s">
        <v>412</v>
      </c>
      <c r="H4" s="38" t="s">
        <v>413</v>
      </c>
      <c r="I4" s="99" t="s">
        <v>414</v>
      </c>
      <c r="M4" s="32" t="s">
        <v>82</v>
      </c>
      <c r="N4" s="32" t="s">
        <v>415</v>
      </c>
      <c r="O4" s="32" t="s">
        <v>416</v>
      </c>
      <c r="P4" s="32" t="s">
        <v>417</v>
      </c>
    </row>
    <row r="5" spans="1:16" ht="23.25" x14ac:dyDescent="0.5">
      <c r="A5" s="36">
        <v>1</v>
      </c>
      <c r="B5" s="36" t="s">
        <v>313</v>
      </c>
      <c r="C5" s="37" t="s">
        <v>314</v>
      </c>
      <c r="D5" s="54">
        <v>45945</v>
      </c>
      <c r="E5" s="60" t="s">
        <v>418</v>
      </c>
      <c r="F5" s="64">
        <v>45961</v>
      </c>
      <c r="G5" s="36" t="s">
        <v>419</v>
      </c>
      <c r="H5" s="100" t="s">
        <v>223</v>
      </c>
      <c r="I5" s="61" t="s">
        <v>420</v>
      </c>
      <c r="L5" s="101" t="s">
        <v>421</v>
      </c>
      <c r="M5" s="31" t="s">
        <v>302</v>
      </c>
      <c r="N5" s="31" t="s">
        <v>218</v>
      </c>
      <c r="O5" s="31" t="s">
        <v>422</v>
      </c>
      <c r="P5" s="31" t="s">
        <v>423</v>
      </c>
    </row>
    <row r="6" spans="1:16" ht="23.25" x14ac:dyDescent="0.5">
      <c r="A6" s="36">
        <v>2</v>
      </c>
      <c r="B6" s="36" t="s">
        <v>299</v>
      </c>
      <c r="C6" s="37" t="s">
        <v>300</v>
      </c>
      <c r="D6" s="54">
        <v>45946</v>
      </c>
      <c r="E6" s="60" t="s">
        <v>418</v>
      </c>
      <c r="F6" s="64" t="s">
        <v>223</v>
      </c>
      <c r="G6" s="36" t="s">
        <v>223</v>
      </c>
      <c r="H6" s="100" t="s">
        <v>223</v>
      </c>
      <c r="I6" s="36" t="s">
        <v>223</v>
      </c>
      <c r="L6" s="101" t="s">
        <v>424</v>
      </c>
      <c r="M6" s="31" t="s">
        <v>340</v>
      </c>
      <c r="N6" s="31" t="s">
        <v>303</v>
      </c>
      <c r="O6" s="31" t="s">
        <v>425</v>
      </c>
      <c r="P6" s="31" t="s">
        <v>426</v>
      </c>
    </row>
    <row r="7" spans="1:16" ht="23.25" x14ac:dyDescent="0.5">
      <c r="A7" s="36">
        <v>3</v>
      </c>
      <c r="B7" s="36" t="s">
        <v>321</v>
      </c>
      <c r="C7" s="37" t="s">
        <v>322</v>
      </c>
      <c r="D7" s="54">
        <v>45947</v>
      </c>
      <c r="E7" s="60" t="s">
        <v>418</v>
      </c>
      <c r="F7" s="64">
        <v>45964</v>
      </c>
      <c r="G7" s="36" t="s">
        <v>427</v>
      </c>
      <c r="H7" s="100" t="s">
        <v>223</v>
      </c>
      <c r="I7" s="61" t="s">
        <v>428</v>
      </c>
      <c r="L7" s="101" t="s">
        <v>418</v>
      </c>
      <c r="M7" s="31"/>
      <c r="N7" s="31"/>
      <c r="O7" s="31" t="s">
        <v>320</v>
      </c>
      <c r="P7" s="31" t="s">
        <v>429</v>
      </c>
    </row>
    <row r="8" spans="1:16" ht="23.25" x14ac:dyDescent="0.5">
      <c r="A8" s="36">
        <v>4</v>
      </c>
      <c r="B8" s="36" t="s">
        <v>325</v>
      </c>
      <c r="C8" s="37" t="s">
        <v>326</v>
      </c>
      <c r="D8" s="54">
        <v>45958</v>
      </c>
      <c r="E8" s="60" t="s">
        <v>418</v>
      </c>
      <c r="F8" s="64">
        <v>45960</v>
      </c>
      <c r="G8" s="36" t="s">
        <v>430</v>
      </c>
      <c r="H8" s="100"/>
      <c r="I8" s="62" t="s">
        <v>431</v>
      </c>
      <c r="L8" s="102"/>
      <c r="M8" s="31"/>
      <c r="N8" s="31"/>
      <c r="O8" s="31" t="s">
        <v>316</v>
      </c>
      <c r="P8" s="31"/>
    </row>
    <row r="9" spans="1:16" ht="23.25" x14ac:dyDescent="0.3">
      <c r="A9" s="36">
        <v>5</v>
      </c>
      <c r="B9" s="36" t="s">
        <v>309</v>
      </c>
      <c r="C9" s="37" t="s">
        <v>310</v>
      </c>
      <c r="D9" s="54">
        <v>45966</v>
      </c>
      <c r="E9" s="53" t="s">
        <v>303</v>
      </c>
      <c r="F9" s="59" t="s">
        <v>223</v>
      </c>
      <c r="G9" s="36" t="s">
        <v>223</v>
      </c>
      <c r="H9" s="100" t="s">
        <v>223</v>
      </c>
      <c r="I9" s="36" t="s">
        <v>223</v>
      </c>
      <c r="M9" s="31"/>
      <c r="N9" s="31"/>
      <c r="O9" s="31" t="s">
        <v>432</v>
      </c>
      <c r="P9" s="31" t="s">
        <v>433</v>
      </c>
    </row>
    <row r="10" spans="1:16" ht="23.25" x14ac:dyDescent="0.3">
      <c r="A10" s="36">
        <v>6</v>
      </c>
      <c r="B10" s="36" t="s">
        <v>317</v>
      </c>
      <c r="C10" s="37" t="s">
        <v>318</v>
      </c>
      <c r="D10" s="54">
        <v>45966</v>
      </c>
      <c r="E10" s="53" t="s">
        <v>303</v>
      </c>
      <c r="F10" s="59" t="s">
        <v>223</v>
      </c>
      <c r="G10" s="36" t="s">
        <v>223</v>
      </c>
      <c r="H10" s="100" t="s">
        <v>223</v>
      </c>
      <c r="I10" s="36" t="s">
        <v>223</v>
      </c>
      <c r="M10" s="31"/>
      <c r="N10" s="31"/>
      <c r="O10" s="31" t="s">
        <v>434</v>
      </c>
      <c r="P10" s="31"/>
    </row>
    <row r="11" spans="1:16" ht="23.25" x14ac:dyDescent="0.3">
      <c r="A11" s="36"/>
      <c r="B11" s="36"/>
      <c r="C11" s="37"/>
      <c r="D11" s="54"/>
      <c r="E11" s="36"/>
      <c r="F11" s="36"/>
      <c r="G11" s="36"/>
      <c r="H11" s="100"/>
      <c r="I11" s="36"/>
      <c r="M11" s="31"/>
      <c r="N11" s="31"/>
      <c r="O11" s="31" t="s">
        <v>305</v>
      </c>
      <c r="P11" s="31"/>
    </row>
    <row r="12" spans="1:16" ht="23.25" x14ac:dyDescent="0.3">
      <c r="A12" s="36" t="s">
        <v>345</v>
      </c>
      <c r="B12" s="36" t="s">
        <v>345</v>
      </c>
      <c r="C12" s="36" t="s">
        <v>345</v>
      </c>
      <c r="D12" s="55" t="s">
        <v>345</v>
      </c>
      <c r="E12" s="36" t="s">
        <v>345</v>
      </c>
      <c r="F12" s="36" t="s">
        <v>345</v>
      </c>
      <c r="G12" s="36" t="s">
        <v>345</v>
      </c>
      <c r="H12" s="100" t="s">
        <v>345</v>
      </c>
      <c r="I12" s="36" t="s">
        <v>345</v>
      </c>
      <c r="M12" s="31"/>
      <c r="N12" s="31"/>
      <c r="O12" s="31" t="s">
        <v>435</v>
      </c>
      <c r="P12" s="31"/>
    </row>
    <row r="13" spans="1:16" ht="16.5" x14ac:dyDescent="0.3">
      <c r="M13" s="31"/>
      <c r="N13" s="31"/>
      <c r="O13" s="31" t="s">
        <v>436</v>
      </c>
      <c r="P13" s="31"/>
    </row>
    <row r="14" spans="1:16" ht="16.5" x14ac:dyDescent="0.3">
      <c r="M14" s="31"/>
      <c r="N14" s="31"/>
      <c r="O14" s="31" t="s">
        <v>437</v>
      </c>
      <c r="P14" s="31"/>
    </row>
    <row r="15" spans="1:16" ht="16.5" x14ac:dyDescent="0.3">
      <c r="M15" s="31"/>
      <c r="N15" s="31"/>
      <c r="O15" s="31" t="s">
        <v>303</v>
      </c>
      <c r="P15" s="31"/>
    </row>
  </sheetData>
  <sheetProtection algorithmName="SHA-512" hashValue="2nVXxO8WJtS6jPyhB6TEGYj7KKZ1dTmNKauVLpmaCjLr8luAlAqjuNVSw8VwziYjhriRckoFi1VmtKUgPvKxCQ==" saltValue="lCHDPaWBhmz3OyebaitRZA==" spinCount="100000" sheet="1" objects="1" scenarios="1"/>
  <mergeCells count="3">
    <mergeCell ref="A1:B3"/>
    <mergeCell ref="C1:I2"/>
    <mergeCell ref="C3:I3"/>
  </mergeCells>
  <dataValidations count="1">
    <dataValidation type="list" allowBlank="1" showInputMessage="1" showErrorMessage="1" sqref="E5:E12" xr:uid="{B15BB329-6DEB-41BC-84A2-BA97F319DEB1}">
      <formula1>$L$5:$L$7</formula1>
    </dataValidation>
  </dataValidations>
  <hyperlinks>
    <hyperlink ref="I5" r:id="rId1" xr:uid="{A6C4EC2B-1D3B-473C-808F-4075372E5616}"/>
    <hyperlink ref="I7" r:id="rId2" xr:uid="{19BCC5F3-4B88-46BD-8991-9AFF5CF2F156}"/>
    <hyperlink ref="I8" r:id="rId3" xr:uid="{90BD2270-1E43-495E-8C24-F91DC8754985}"/>
  </hyperlinks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งานงวดที่ 2 (3)</vt:lpstr>
      <vt:lpstr>Sheet1</vt:lpstr>
      <vt:lpstr>Minutes of Meeting</vt:lpstr>
      <vt:lpstr>Doc approval Checklist</vt:lpstr>
      <vt:lpstr>Doc. issue</vt:lpstr>
      <vt:lpstr>Check list DeMO</vt:lpstr>
      <vt:lpstr>CMP_Adoption</vt:lpstr>
      <vt:lpstr>CMP Adoption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chatchawan voraseehirun</dc:creator>
  <cp:keywords/>
  <dc:description/>
  <cp:lastModifiedBy>Pichaya Chaiwiset</cp:lastModifiedBy>
  <cp:revision/>
  <dcterms:created xsi:type="dcterms:W3CDTF">2024-11-24T03:40:33Z</dcterms:created>
  <dcterms:modified xsi:type="dcterms:W3CDTF">2026-06-24T11:58:30Z</dcterms:modified>
  <cp:category/>
  <cp:contentStatus/>
</cp:coreProperties>
</file>